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d4a035e5905c4ac/Desktop/Ironhack/project_1/"/>
    </mc:Choice>
  </mc:AlternateContent>
  <xr:revisionPtr revIDLastSave="2863" documentId="8_{73B9F66A-3D23-4E38-AA0B-D42DC6A1A362}" xr6:coauthVersionLast="47" xr6:coauthVersionMax="47" xr10:uidLastSave="{605F9056-90BF-4A32-95DE-C9E4213DE563}"/>
  <bookViews>
    <workbookView xWindow="-120" yWindow="-120" windowWidth="29040" windowHeight="15720" xr2:uid="{00000000-000D-0000-FFFF-FFFF00000000}"/>
  </bookViews>
  <sheets>
    <sheet name="Loans" sheetId="1" r:id="rId1"/>
    <sheet name="Banks" sheetId="2" r:id="rId2"/>
  </sheets>
  <externalReferences>
    <externalReference r:id="rId3"/>
  </externalReferences>
  <definedNames>
    <definedName name="_xlnm._FilterDatabase" localSheetId="1" hidden="1">Banks!$A$1:$X$17</definedName>
    <definedName name="_xlnm._FilterDatabase" localSheetId="0" hidden="1">Loans!$A$1:$V$1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2" i="2"/>
  <c r="J10" i="2"/>
  <c r="K10" i="2" s="1"/>
  <c r="J14" i="2"/>
  <c r="K14" i="2" s="1"/>
  <c r="L2" i="2"/>
  <c r="J2" i="2"/>
  <c r="K2" i="2" s="1"/>
  <c r="J5" i="2"/>
  <c r="K5" i="2" s="1"/>
  <c r="J12" i="2"/>
  <c r="K12" i="2" s="1"/>
  <c r="J11" i="2"/>
  <c r="K11" i="2" s="1"/>
  <c r="K17" i="2"/>
  <c r="J4" i="2"/>
  <c r="K4" i="2" s="1"/>
  <c r="J3" i="2"/>
  <c r="K3" i="2" s="1"/>
  <c r="J15" i="2"/>
  <c r="K15" i="2" s="1"/>
  <c r="J16" i="2"/>
  <c r="K16" i="2" s="1"/>
  <c r="J9" i="2"/>
  <c r="K9" i="2" s="1"/>
  <c r="J8" i="2"/>
  <c r="K8" i="2" s="1"/>
  <c r="J6" i="2"/>
  <c r="K6" i="2" s="1"/>
  <c r="J13" i="2"/>
  <c r="K13" i="2" s="1"/>
  <c r="J7" i="2"/>
  <c r="K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tc={649464FE-7FAA-4081-A7AD-3C3F6006C0CE}</author>
  </authors>
  <commentList>
    <comment ref="H1" authorId="0" shapeId="0" xr:uid="{649464FE-7FAA-4081-A7AD-3C3F6006C0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Annual Percentage Rate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tc={C9220767-8511-42B3-9AC2-9ADE2AA62F55}</author>
    <author>tc={21D02125-7690-4780-9311-B99923FCCD41}</author>
  </authors>
  <commentList>
    <comment ref="C1" authorId="0" shapeId="0" xr:uid="{C9220767-8511-42B3-9AC2-9ADE2AA62F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Providers | TrueLayer Console </t>
      </text>
    </comment>
    <comment ref="N4" authorId="1" shapeId="0" xr:uid="{21D02125-7690-4780-9311-B99923FCCD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Non-resident
</t>
      </text>
    </comment>
  </commentList>
</comments>
</file>

<file path=xl/sharedStrings.xml><?xml version="1.0" encoding="utf-8"?>
<sst xmlns="http://schemas.openxmlformats.org/spreadsheetml/2006/main" count="1419" uniqueCount="294">
  <si>
    <t>Bank</t>
  </si>
  <si>
    <t>APR</t>
  </si>
  <si>
    <t>Loan_Term_Years</t>
  </si>
  <si>
    <t>Notes</t>
  </si>
  <si>
    <t>Santander</t>
  </si>
  <si>
    <t>Resident</t>
  </si>
  <si>
    <t>Yes</t>
  </si>
  <si>
    <t>Non-Resident</t>
  </si>
  <si>
    <t>Bankinter</t>
  </si>
  <si>
    <t>Caixa</t>
  </si>
  <si>
    <t>BBVA</t>
  </si>
  <si>
    <t>Sabadell</t>
  </si>
  <si>
    <t>Ibercaja</t>
  </si>
  <si>
    <t>ING</t>
  </si>
  <si>
    <t>Openbank</t>
  </si>
  <si>
    <t>Hipotecas NARANJA ▷ Préstamos hipotecarios 100% online - ING</t>
  </si>
  <si>
    <t xml:space="preserve">Bank </t>
  </si>
  <si>
    <t>Type</t>
  </si>
  <si>
    <t>Loan_Amount</t>
  </si>
  <si>
    <t>Interest_Type</t>
  </si>
  <si>
    <t>Max_LTV</t>
  </si>
  <si>
    <t>No</t>
  </si>
  <si>
    <t>Fixed</t>
  </si>
  <si>
    <t>Customer_Type</t>
  </si>
  <si>
    <t>Bank_Type</t>
  </si>
  <si>
    <t>Traditional</t>
  </si>
  <si>
    <t>Down_Payment_Min</t>
  </si>
  <si>
    <t>Bonus_conditions</t>
  </si>
  <si>
    <t>Simulador de hipoteca. Calcular cuota de hipoteca - Banco Santander</t>
  </si>
  <si>
    <t>Hipoteca Mundo para No Residentes - Banco Santander</t>
  </si>
  <si>
    <t>Simular o calcular préstamo/crédito para hipoteca | Bankinter</t>
  </si>
  <si>
    <t>Simulador de hipoteca: calcula tu cuota hipotecaria | BBVA</t>
  </si>
  <si>
    <t>MAX Loan_Term_Years</t>
  </si>
  <si>
    <t>max 40 years, 100% financible. Fixed loan only 25 years#</t>
  </si>
  <si>
    <t>Simulador hipoteca - Banco Sabadell</t>
  </si>
  <si>
    <t>same simulator page for non-residents</t>
  </si>
  <si>
    <t>link no residente</t>
  </si>
  <si>
    <t xml:space="preserve">link </t>
  </si>
  <si>
    <t>Simulador de Hipotecas ▷ Calcula tu cuota hipotecaria - Ibercaja</t>
  </si>
  <si>
    <t>Hipotecas Open</t>
  </si>
  <si>
    <t>Scenario_Type</t>
  </si>
  <si>
    <t>Base</t>
  </si>
  <si>
    <t>-</t>
  </si>
  <si>
    <t>Ownership</t>
  </si>
  <si>
    <t>Notes Bank</t>
  </si>
  <si>
    <t>Private / Global</t>
  </si>
  <si>
    <t>One of the largest banks in Spain and globally. Parent of Openbank.</t>
  </si>
  <si>
    <t>Private</t>
  </si>
  <si>
    <t xml:space="preserve">	Foundation-owned	</t>
  </si>
  <si>
    <t>Major Spanish bank with strong presence in retail banking.</t>
  </si>
  <si>
    <t xml:space="preserve">Foundation-owned	</t>
  </si>
  <si>
    <t>Regional bank with strong presence in Aragón and La Rioja.</t>
  </si>
  <si>
    <t xml:space="preserve">Dutch Multinational	</t>
  </si>
  <si>
    <t xml:space="preserve">Subsidiary of Santander	</t>
  </si>
  <si>
    <t>Unicaja Banco</t>
  </si>
  <si>
    <t>https://www.unicajabanco.es/es/particulares/hipotecas-y-prestamos/simulador-hipotecas</t>
  </si>
  <si>
    <t>Large bank after merging with Liberbank; strong in the south.</t>
  </si>
  <si>
    <t>Simula la cuota de tu hipoteca | ABANCA</t>
  </si>
  <si>
    <t>Abanca</t>
  </si>
  <si>
    <t>Based in Galicia; very active in retail and mortgage market.</t>
  </si>
  <si>
    <t>mixta only</t>
  </si>
  <si>
    <t>PIBANK HIPOTECAS</t>
  </si>
  <si>
    <t>MyInvestor</t>
  </si>
  <si>
    <t>no bonus</t>
  </si>
  <si>
    <t>Cooperative (rural)</t>
  </si>
  <si>
    <t>Cajamar</t>
  </si>
  <si>
    <t>Digital</t>
  </si>
  <si>
    <t>Subsidiary of Banco Pichincha (Ecuador)</t>
  </si>
  <si>
    <t>Backed by Andbank (Andorra), El Corte Inglés &amp; AXA</t>
  </si>
  <si>
    <t>One of the most popular neobanks in Spain; offers online mortgages and robo-investing.</t>
  </si>
  <si>
    <t>Pibank</t>
  </si>
  <si>
    <t>Offers to Non-Residents</t>
  </si>
  <si>
    <t>Offers Online Calculator</t>
  </si>
  <si>
    <t>Simulator Source</t>
  </si>
  <si>
    <t>Bank Website</t>
  </si>
  <si>
    <t>non-residentes</t>
  </si>
  <si>
    <t>yes but only on request per phone</t>
  </si>
  <si>
    <t>anfrage gesendet üer Juans Nummer</t>
  </si>
  <si>
    <t>Private	Duplicate row</t>
  </si>
  <si>
    <t>Market Share</t>
  </si>
  <si>
    <t>23.52%</t>
  </si>
  <si>
    <t>13.45%</t>
  </si>
  <si>
    <t>16.05%</t>
  </si>
  <si>
    <t>5.04%</t>
  </si>
  <si>
    <t>4.59%</t>
  </si>
  <si>
    <t>4.48%</t>
  </si>
  <si>
    <t>Imagin</t>
  </si>
  <si>
    <t>3.92%</t>
  </si>
  <si>
    <t>7.28%</t>
  </si>
  <si>
    <t>Caja Rural</t>
  </si>
  <si>
    <t>2.31%</t>
  </si>
  <si>
    <t>1.79%</t>
  </si>
  <si>
    <t>1.68%</t>
  </si>
  <si>
    <t>0.22%</t>
  </si>
  <si>
    <t>Banca March</t>
  </si>
  <si>
    <t>Owned by CaixaBank, focused on young clients. Mobile-only.</t>
  </si>
  <si>
    <t>project data availability</t>
  </si>
  <si>
    <t>registration with app needed with NIE</t>
  </si>
  <si>
    <t>NA</t>
  </si>
  <si>
    <t>Hipotecas imaginBank: consigue tu préstamo hipotecario | imagin - imagin</t>
  </si>
  <si>
    <t>note</t>
  </si>
  <si>
    <t xml:space="preserve">only 1 example available for 25 years and 150 tsd </t>
  </si>
  <si>
    <t>Simulador de Hipotecas | Caja Rural Central</t>
  </si>
  <si>
    <t>project data availability expl</t>
  </si>
  <si>
    <t>min property price 200k, min income 4k</t>
  </si>
  <si>
    <t>MAX Loan_Term_Years No Resident</t>
  </si>
  <si>
    <t>Calcula tu cuota con el simulador de hipoteca - Banca March
https://www.bancamarch.es/es/actualidad/noticias/banca-march-amplia-su-oferta-hipotecaria-con-la-nueva-hipoteca-fija-bonificada.html</t>
  </si>
  <si>
    <t>Max_LTV No resident</t>
  </si>
  <si>
    <t>Only no-resident</t>
  </si>
  <si>
    <t>mixed only</t>
  </si>
  <si>
    <t>only 25 years for fixed mortgage</t>
  </si>
  <si>
    <t>for non-residents there is a calculator otherise you need a DNI</t>
  </si>
  <si>
    <t>80%, 30 years only for nueva casa</t>
  </si>
  <si>
    <t>Hipoteca Tipo Fijo cajamar Cajamar — idealista hipotecas
https://www.cajamar.es/es/comun/te-ayudamos/simuladores/simulador-hipoteca/</t>
  </si>
  <si>
    <t xml:space="preserve">Idealista
Bank Website
</t>
  </si>
  <si>
    <t>Long-Term</t>
  </si>
  <si>
    <t>No Bonus</t>
  </si>
  <si>
    <t>Bonus</t>
  </si>
  <si>
    <t>https://www.caixabank.es/particular/hipotecas/casafacil.html#casaf%C3%A1cilfijo
https://www.caixabank.es/particular/hipotecas/comparador-hipotecas.html</t>
  </si>
  <si>
    <t>only mixed</t>
  </si>
  <si>
    <t>ratio_fixed</t>
  </si>
  <si>
    <t>Property_Price</t>
  </si>
  <si>
    <t>Bank_ID</t>
  </si>
  <si>
    <t>https://www.bankinter.com/banca/nav/bancarios-extranjeros-expatriados/no-residentes</t>
  </si>
  <si>
    <t>wait, maybe a response for non residents</t>
  </si>
  <si>
    <t>check doubles</t>
  </si>
  <si>
    <t>Mixed</t>
  </si>
  <si>
    <t>Variable</t>
  </si>
  <si>
    <t>https://www.caixabank.es/aplnr/holabank/simulador/index_en.html</t>
  </si>
  <si>
    <t>no possibility to contact without spanish documents (NIF)
just general information on website for fixed mortgage - only fixed loans.
For non-residents: HolaBank</t>
  </si>
  <si>
    <t>different simulator page for non-residents</t>
  </si>
  <si>
    <t>only 25 years</t>
  </si>
  <si>
    <t>Regionality</t>
  </si>
  <si>
    <t>National</t>
  </si>
  <si>
    <t>National / Global</t>
  </si>
  <si>
    <t xml:space="preserve">National </t>
  </si>
  <si>
    <t>Focuses on investment and high-net-worth clients.</t>
  </si>
  <si>
    <t>Strong digital transformation focus in recent years.</t>
  </si>
  <si>
    <t>(Ecuador) Fully online bank, offers transparent mortgage products with no opening commission.</t>
  </si>
  <si>
    <t>Strong player in retail and SME banking.</t>
  </si>
  <si>
    <t>No_Residents</t>
  </si>
  <si>
    <t>Known for mortgage innovation and owning EVO Banco.</t>
  </si>
  <si>
    <t>correlation_loan_term</t>
  </si>
  <si>
    <t>correlation_loan_term_factor</t>
  </si>
  <si>
    <t>Correlation_Factor_Loan_Term</t>
  </si>
  <si>
    <t>Max_Loan_Term</t>
  </si>
  <si>
    <t>Loan_Term_Group</t>
  </si>
  <si>
    <t>Correlation_Factor_Bonus_Condition</t>
  </si>
  <si>
    <t>Correlation_Effect_Bonus_Condition</t>
  </si>
  <si>
    <t>Decrease</t>
  </si>
  <si>
    <t>Increase</t>
  </si>
  <si>
    <t>No Change</t>
  </si>
  <si>
    <t>Does_Bank_Offer_Bonus_Conditions?</t>
  </si>
  <si>
    <t>Non-Resident Fixed Bonus Base</t>
  </si>
  <si>
    <t>SantanderNon-ResidentFixedBonus15</t>
  </si>
  <si>
    <t>Non-Resident Fixed No Bonus Base</t>
  </si>
  <si>
    <t>SantanderNon-ResidentFixedNo Bonus15</t>
  </si>
  <si>
    <t>Resident Fixed Bonus Base</t>
  </si>
  <si>
    <t>SantanderResidentFixedBonus15</t>
  </si>
  <si>
    <t>Resident Mixed Bonus Base</t>
  </si>
  <si>
    <t>SantanderResidentMixedBonus15</t>
  </si>
  <si>
    <t>Resident Mixed No Bonus Base</t>
  </si>
  <si>
    <t>SantanderResidentMixedNo Bonus15</t>
  </si>
  <si>
    <t>Resident Variable Bonus Base</t>
  </si>
  <si>
    <t>SantanderResidentVariableBonus15</t>
  </si>
  <si>
    <t>Banca MarchResidentFixedBonus15</t>
  </si>
  <si>
    <t>Resident Fixed No Bonus Base</t>
  </si>
  <si>
    <t>Banca MarchResidentFixedNo Bonus15</t>
  </si>
  <si>
    <t>OpenbankResidentFixedBonus15</t>
  </si>
  <si>
    <t>OpenbankResidentFixedNo Bonus15</t>
  </si>
  <si>
    <t>CajamarResidentFixedBonus15</t>
  </si>
  <si>
    <t>BBVAResidentFixedBonus15</t>
  </si>
  <si>
    <t>CajamarResidentFixedNo Bonus15</t>
  </si>
  <si>
    <t>Unicaja BancoResidentFixedNo Bonus15</t>
  </si>
  <si>
    <t>Unicaja BancoResidentFixedBonus15</t>
  </si>
  <si>
    <t>Caja RuralResidentFixedBonus15</t>
  </si>
  <si>
    <t>SabadellResidentFixedBonus15</t>
  </si>
  <si>
    <t>AbancaResidentFixedBonus15</t>
  </si>
  <si>
    <t>BBVAResidentFixedNo Bonus15</t>
  </si>
  <si>
    <t>SabadellResidentFixedNo Bonus15</t>
  </si>
  <si>
    <t>AbancaResidentFixedNo Bonus15</t>
  </si>
  <si>
    <t>Resident Variable No Bonus Base</t>
  </si>
  <si>
    <t>SantanderResidentVariableNo Bonus15</t>
  </si>
  <si>
    <t>Resident Fixed Bonus Long-Term</t>
  </si>
  <si>
    <t>CajamarResidentFixedBonus30</t>
  </si>
  <si>
    <t>Resident Fixed No Bonus Long-Term</t>
  </si>
  <si>
    <t>CajamarResidentFixedNo Bonus30</t>
  </si>
  <si>
    <t>SabadellResidentMixedBonus15</t>
  </si>
  <si>
    <t>SabadellResidentMixedNo Bonus15</t>
  </si>
  <si>
    <t>SantanderResidentFixedNo Bonus15</t>
  </si>
  <si>
    <t>Non-Resident Fixed Bonus Long-Term</t>
  </si>
  <si>
    <t>SantanderNon-ResidentFixedBonus20</t>
  </si>
  <si>
    <t>OpenbankResidentVariableNo Bonus15</t>
  </si>
  <si>
    <t>OpenbankResidentVariableBonus15</t>
  </si>
  <si>
    <t>SabadellResidentVariableBonus15</t>
  </si>
  <si>
    <t>SabadellResidentVariableNo Bonus15</t>
  </si>
  <si>
    <t>Non-Resident Fixed No Bonus Long-Term</t>
  </si>
  <si>
    <t>SantanderNon-ResidentFixedNo Bonus20</t>
  </si>
  <si>
    <t>Resident Mixed Bonus Long-Term</t>
  </si>
  <si>
    <t>SantanderResidentMixedBonus25</t>
  </si>
  <si>
    <t>Caja RuralResidentVariableNo Bonus15</t>
  </si>
  <si>
    <t>Caja RuralResidentVariableBonus15</t>
  </si>
  <si>
    <t>OpenbankResidentFixedBonus25</t>
  </si>
  <si>
    <t>OpenbankResidentFixedNo Bonus25</t>
  </si>
  <si>
    <t>Resident Mixed No Bonus Long-Term</t>
  </si>
  <si>
    <t>SantanderResidentMixedNo Bonus25</t>
  </si>
  <si>
    <t>Caja RuralResidentFixedNo Bonus15</t>
  </si>
  <si>
    <t>Banca MarchResidentFixedNo Bonus25</t>
  </si>
  <si>
    <t>Unicaja BancoResidentFixedBonus25</t>
  </si>
  <si>
    <t>AbancaResidentFixedBonus25</t>
  </si>
  <si>
    <t>BBVAResidentFixedBonus25</t>
  </si>
  <si>
    <t>Caja RuralResidentFixedBonus25</t>
  </si>
  <si>
    <t>SabadellResidentFixedBonus25</t>
  </si>
  <si>
    <t>Unicaja BancoResidentFixedNo Bonus25</t>
  </si>
  <si>
    <t>SabadellResidentFixedNo Bonus25</t>
  </si>
  <si>
    <t>BBVAResidentFixedNo Bonus25</t>
  </si>
  <si>
    <t>AbancaResidentFixedNo Bonus25</t>
  </si>
  <si>
    <t>AbancaResidentMixedNo Bonus25</t>
  </si>
  <si>
    <t>AbancaResidentMixedBonus25</t>
  </si>
  <si>
    <t>CajamarResidentMixedNo Bonus15</t>
  </si>
  <si>
    <t>CajamarResidentMixedBonus15</t>
  </si>
  <si>
    <t>Resident Variable Bonus Long-Term</t>
  </si>
  <si>
    <t>SantanderResidentVariableBonus25</t>
  </si>
  <si>
    <t>Resident Variable No Bonus Long-Term</t>
  </si>
  <si>
    <t>SantanderResidentVariableNo Bonus25</t>
  </si>
  <si>
    <t>OpenbankResidentVariableNo Bonus25</t>
  </si>
  <si>
    <t>OpenbankResidentVariableBonus25</t>
  </si>
  <si>
    <t>SantanderResidentFixedBonus25</t>
  </si>
  <si>
    <t>SantanderResidentFixedNo Bonus25</t>
  </si>
  <si>
    <t>Caja RuralResidentVariableBonus25</t>
  </si>
  <si>
    <t>Caja RuralResidentVariableNo Bonus25</t>
  </si>
  <si>
    <t>SantanderNon-ResidentFixedBonus30</t>
  </si>
  <si>
    <t>Caja RuralResidentFixedNo Bonus25</t>
  </si>
  <si>
    <t>SantanderNon-ResidentFixedNo Bonus30</t>
  </si>
  <si>
    <t>Banca MarchResidentFixedNo Bonus30</t>
  </si>
  <si>
    <t>CajamarResidentMixedNo Bonus25</t>
  </si>
  <si>
    <t>Unicaja BancoResidentFixedBonus30</t>
  </si>
  <si>
    <t>AbancaResidentFixedBonus30</t>
  </si>
  <si>
    <t>CajamarResidentMixedBonus25</t>
  </si>
  <si>
    <t>Caja RuralResidentFixedBonus30</t>
  </si>
  <si>
    <t>SabadellResidentFixedBonus30</t>
  </si>
  <si>
    <t>Unicaja BancoResidentFixedNo Bonus30</t>
  </si>
  <si>
    <t>BBVAResidentFixedBonus30</t>
  </si>
  <si>
    <t>SabadellResidentFixedNo Bonus30</t>
  </si>
  <si>
    <t>BBVAResidentFixedNo Bonus30</t>
  </si>
  <si>
    <t>AbancaResidentMixedNo Bonus30</t>
  </si>
  <si>
    <t>AbancaResidentMixedBonus30</t>
  </si>
  <si>
    <t>SantanderResidentMixedBonus30</t>
  </si>
  <si>
    <t>SantanderResidentMixedNo Bonus30</t>
  </si>
  <si>
    <t>Caja RuralResidentVariableBonus30</t>
  </si>
  <si>
    <t>Caja RuralResidentVariableNo Bonus30</t>
  </si>
  <si>
    <t>SantanderResidentVariableBonus30</t>
  </si>
  <si>
    <t>SantanderResidentVariableNo Bonus30</t>
  </si>
  <si>
    <t>AbancaResidentFixedNo Bonus30</t>
  </si>
  <si>
    <t>SantanderResidentFixedBonus30</t>
  </si>
  <si>
    <t>Caja RuralResidentFixedNo Bonus30</t>
  </si>
  <si>
    <t>SantanderResidentFixedNo Bonus30</t>
  </si>
  <si>
    <t>CaixaNon-ResidentFixedNo Bonus15</t>
  </si>
  <si>
    <t>CaixaNon-ResidentFixedBonus20</t>
  </si>
  <si>
    <t>CaixaNon-ResidentFixedNo Bonus20</t>
  </si>
  <si>
    <t>IbercajaResidentFixedNo Bonus15</t>
  </si>
  <si>
    <t>IbercajaResidentFixedBonus15</t>
  </si>
  <si>
    <t>CaixaResidentFixedNo Bonus15</t>
  </si>
  <si>
    <t>CaixaResidentFixedBonus15</t>
  </si>
  <si>
    <t>IbercajaResidentFixedNo Bonus25</t>
  </si>
  <si>
    <t>IbercajaResidentFixedBonus25</t>
  </si>
  <si>
    <t>IbercajaResidentFixedNo Bonus30</t>
  </si>
  <si>
    <t>IbercajaResidentFixedBonus30</t>
  </si>
  <si>
    <t>CaixaResidentFixedBonus30</t>
  </si>
  <si>
    <t>CaixaResidentFixedNo Bonus30</t>
  </si>
  <si>
    <t>MyInvestorResidentFixedNo Bonus15</t>
  </si>
  <si>
    <t>BankinterResidentMixedNo Bonus15</t>
  </si>
  <si>
    <t>PibankResidentMixedNo Bonus15</t>
  </si>
  <si>
    <t>INGResidentVariableNo Bonus15</t>
  </si>
  <si>
    <t>MyInvestorResidentVariableNo Bonus15</t>
  </si>
  <si>
    <t>MyInvestorResidentFixedNo Bonus25</t>
  </si>
  <si>
    <t>INGResidentFixedNo Bonus25</t>
  </si>
  <si>
    <t>PibankResidentMixedNo Bonus25</t>
  </si>
  <si>
    <t>INGResidentVariableNo Bonus25</t>
  </si>
  <si>
    <t>MyInvestorResidentVariableNo Bonus25</t>
  </si>
  <si>
    <t>MyInvestorResidentFixedNo Bonus30</t>
  </si>
  <si>
    <t>BankinterResidentMixedNo Bonus30</t>
  </si>
  <si>
    <t>PibankResidentMixedNo Bonus30</t>
  </si>
  <si>
    <t>INGResidentVariableNo Bonus30</t>
  </si>
  <si>
    <t>MyInvestorResidentVariableNo Bonus30</t>
  </si>
  <si>
    <t>ImaginResidentFixedNo Bonus25</t>
  </si>
  <si>
    <t>ImaginResidentFixedBonus25</t>
  </si>
  <si>
    <t>Correlation_Effect_Loan_Term</t>
  </si>
  <si>
    <t>Regional</t>
  </si>
  <si>
    <t xml:space="preserve">Regional </t>
  </si>
  <si>
    <t>Andalusia-focused</t>
  </si>
  <si>
    <t>Operates regionally in Spain.</t>
  </si>
  <si>
    <t>100% online, offers full banking including mortgages.  Subsidiary of Santander.</t>
  </si>
  <si>
    <t>Operates as a digital bank in Spain. No branches. Known for transparency.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</si>
</sst>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6" fillId="0" borderId="1" xfId="0" applyFont="1" applyBorder="1" applyAlignment="1">
      <alignment horizontal="center" vertical="top" wrapText="1"/>
    </xf>
    <xf numFmtId="9" fontId="6" fillId="0" borderId="1" xfId="1" applyFont="1" applyBorder="1" applyAlignment="1">
      <alignment horizontal="center" vertical="top" wrapText="1"/>
    </xf>
    <xf numFmtId="9" fontId="1" fillId="0" borderId="1" xfId="1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9" fontId="0" fillId="0" borderId="0" xfId="1" applyFont="1" applyAlignment="1">
      <alignment vertical="top" wrapText="1"/>
    </xf>
    <xf numFmtId="0" fontId="5" fillId="0" borderId="0" xfId="2" applyAlignment="1">
      <alignment vertical="top" wrapText="1"/>
    </xf>
    <xf numFmtId="0" fontId="5" fillId="0" borderId="0" xfId="2"/>
    <xf numFmtId="0" fontId="5" fillId="0" borderId="0" xfId="2" applyAlignment="1">
      <alignment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9" fontId="1" fillId="0" borderId="1" xfId="1" applyFont="1" applyFill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9" fontId="6" fillId="0" borderId="2" xfId="1" applyFont="1" applyFill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7" fillId="0" borderId="0" xfId="0" applyFont="1"/>
    <xf numFmtId="9" fontId="0" fillId="0" borderId="0" xfId="1" applyFont="1" applyFill="1"/>
    <xf numFmtId="2" fontId="0" fillId="0" borderId="0" xfId="0" applyNumberFormat="1"/>
    <xf numFmtId="17" fontId="0" fillId="0" borderId="0" xfId="0" quotePrefix="1" applyNumberFormat="1"/>
    <xf numFmtId="9" fontId="7" fillId="0" borderId="0" xfId="1" applyFont="1" applyFill="1"/>
  </cellXfs>
  <cellStyles count="3">
    <cellStyle name="Hyperlink" xfId="2" builtinId="8"/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d4a035e5905c4ac/Desktop/Ironhack/project_1/bank_correlation_loan_term.xlsx" TargetMode="External"/><Relationship Id="rId1" Type="http://schemas.openxmlformats.org/officeDocument/2006/relationships/externalLinkPath" Target="bank_correlation_loan_te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Bank_ID</v>
          </cell>
          <cell r="C1" t="str">
            <v>Correlation</v>
          </cell>
          <cell r="D1" t="str">
            <v>Trend</v>
          </cell>
        </row>
        <row r="2">
          <cell r="B2">
            <v>1</v>
          </cell>
          <cell r="C2">
            <v>0.374</v>
          </cell>
          <cell r="D2" t="str">
            <v>Increasing</v>
          </cell>
        </row>
        <row r="3">
          <cell r="B3">
            <v>11</v>
          </cell>
          <cell r="C3">
            <v>0.55600000000000005</v>
          </cell>
          <cell r="D3" t="str">
            <v>Increasing</v>
          </cell>
        </row>
        <row r="4">
          <cell r="B4">
            <v>13</v>
          </cell>
          <cell r="C4">
            <v>0.27700000000000002</v>
          </cell>
          <cell r="D4" t="str">
            <v>Increasing</v>
          </cell>
        </row>
        <row r="5">
          <cell r="B5">
            <v>9</v>
          </cell>
          <cell r="C5">
            <v>-0.188</v>
          </cell>
          <cell r="D5" t="str">
            <v>Decreasing</v>
          </cell>
        </row>
        <row r="6">
          <cell r="B6">
            <v>4</v>
          </cell>
          <cell r="C6">
            <v>0.29899999999999999</v>
          </cell>
          <cell r="D6" t="str">
            <v>Increasing</v>
          </cell>
        </row>
        <row r="7">
          <cell r="B7">
            <v>7</v>
          </cell>
          <cell r="C7">
            <v>-0.36899999999999999</v>
          </cell>
          <cell r="D7" t="str">
            <v>Decreasing</v>
          </cell>
        </row>
        <row r="8">
          <cell r="B8">
            <v>10</v>
          </cell>
          <cell r="C8">
            <v>-8.1000000000000003E-2</v>
          </cell>
          <cell r="D8" t="str">
            <v>Decreasing</v>
          </cell>
        </row>
        <row r="9">
          <cell r="B9">
            <v>6</v>
          </cell>
          <cell r="C9">
            <v>-8.2000000000000003E-2</v>
          </cell>
          <cell r="D9" t="str">
            <v>Decreasing</v>
          </cell>
        </row>
        <row r="10">
          <cell r="B10">
            <v>8</v>
          </cell>
          <cell r="C10">
            <v>-6.2E-2</v>
          </cell>
          <cell r="D10" t="str">
            <v>Decreasing</v>
          </cell>
        </row>
        <row r="11">
          <cell r="B11">
            <v>3</v>
          </cell>
          <cell r="C11">
            <v>-0.24199999999999999</v>
          </cell>
          <cell r="D11" t="str">
            <v>Decreasing</v>
          </cell>
        </row>
        <row r="12">
          <cell r="B12">
            <v>5</v>
          </cell>
          <cell r="C12">
            <v>-0.61799999999999999</v>
          </cell>
          <cell r="D12" t="str">
            <v>Decreasing</v>
          </cell>
        </row>
        <row r="13">
          <cell r="B13">
            <v>15</v>
          </cell>
          <cell r="C13">
            <v>-0.12</v>
          </cell>
          <cell r="D13" t="str">
            <v>Decreasing</v>
          </cell>
        </row>
        <row r="14">
          <cell r="B14">
            <v>2</v>
          </cell>
          <cell r="C14">
            <v>-1</v>
          </cell>
          <cell r="D14" t="str">
            <v>Decreasing</v>
          </cell>
        </row>
        <row r="15">
          <cell r="B15">
            <v>14</v>
          </cell>
          <cell r="C15">
            <v>0.96899999999999997</v>
          </cell>
          <cell r="D15" t="str">
            <v>Increasing</v>
          </cell>
        </row>
        <row r="16">
          <cell r="B16">
            <v>12</v>
          </cell>
          <cell r="C16">
            <v>0.41</v>
          </cell>
          <cell r="D16" t="str">
            <v>Increasing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astasia Samoylova" id="{1A46E2F1-0D59-48EE-8139-E7537E964AE6}" userId="fd4a035e5905c4a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4-13T16:26:36.13" personId="{1A46E2F1-0D59-48EE-8139-E7537E964AE6}" id="{649464FE-7FAA-4081-A7AD-3C3F6006C0CE}">
    <text xml:space="preserve">Annual Percentage Rate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5-04-17T19:41:25.24" personId="{1A46E2F1-0D59-48EE-8139-E7537E964AE6}" id="{C9220767-8511-42B3-9AC2-9ADE2AA62F55}">
    <text xml:space="preserve">Providers | TrueLayer Console </text>
    <extLst>
      <x:ext xmlns:xltc2="http://schemas.microsoft.com/office/spreadsheetml/2020/threadedcomments2" uri="{F7C98A9C-CBB3-438F-8F68-D28B6AF4A901}">
        <xltc2:checksum>2784539275</xltc2:checksum>
        <xltc2:hyperlink startIndex="0" length="29" url="https://console.truelayer.com/providers?sortBy=marketShare&amp;sortOrder=desc"/>
      </x:ext>
    </extLst>
  </threadedComment>
  <threadedComment ref="N4" dT="2025-04-17T15:36:09.70" personId="{1A46E2F1-0D59-48EE-8139-E7537E964AE6}" id="{21D02125-7690-4780-9311-B99923FCCD41}">
    <text xml:space="preserve">Non-resident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olicitudonline.abanca.com/simulador-hipoteca/es-ES/" TargetMode="External"/><Relationship Id="rId13" Type="http://schemas.openxmlformats.org/officeDocument/2006/relationships/hyperlink" Target="https://www.ruralcentral.es/es/particulares/hipotecas/simulador-hipotecas" TargetMode="External"/><Relationship Id="rId18" Type="http://schemas.openxmlformats.org/officeDocument/2006/relationships/vmlDrawing" Target="../drawings/vmlDrawing2.vml"/><Relationship Id="rId3" Type="http://schemas.openxmlformats.org/officeDocument/2006/relationships/hyperlink" Target="https://bancaonline.bankinter.com/simuladorHip/simulador-hipoteca-resultado.xhtml" TargetMode="External"/><Relationship Id="rId7" Type="http://schemas.openxmlformats.org/officeDocument/2006/relationships/hyperlink" Target="https://www.openbank.es/simulador" TargetMode="External"/><Relationship Id="rId12" Type="http://schemas.openxmlformats.org/officeDocument/2006/relationships/hyperlink" Target="https://www.imagin.com/hipoteca" TargetMode="External"/><Relationship Id="rId17" Type="http://schemas.openxmlformats.org/officeDocument/2006/relationships/hyperlink" Target="https://www.caixabank.es/aplnr/holabank/simulador/index_en.html" TargetMode="External"/><Relationship Id="rId2" Type="http://schemas.openxmlformats.org/officeDocument/2006/relationships/hyperlink" Target="https://www.bbva.es/personas/productos/hipotecas/simulador-hipotecas.html" TargetMode="External"/><Relationship Id="rId16" Type="http://schemas.openxmlformats.org/officeDocument/2006/relationships/hyperlink" Target="https://www.bankinter.com/banca/nav/bancarios-extranjeros-expatriados/no-residentes" TargetMode="External"/><Relationship Id="rId20" Type="http://schemas.microsoft.com/office/2017/10/relationships/threadedComment" Target="../threadedComments/threadedComment2.xml"/><Relationship Id="rId1" Type="http://schemas.openxmlformats.org/officeDocument/2006/relationships/hyperlink" Target="https://www.ing.es/hipotecas" TargetMode="External"/><Relationship Id="rId6" Type="http://schemas.openxmlformats.org/officeDocument/2006/relationships/hyperlink" Target="https://www.ibercaja.es/hipotecas/simulador/" TargetMode="External"/><Relationship Id="rId11" Type="http://schemas.openxmlformats.org/officeDocument/2006/relationships/hyperlink" Target="https://myinvestor.es/simuladores/hipotecas/" TargetMode="External"/><Relationship Id="rId5" Type="http://schemas.openxmlformats.org/officeDocument/2006/relationships/hyperlink" Target="https://www.bancosantander.es/particulares/hipotecas/simulador-hipoteca" TargetMode="External"/><Relationship Id="rId15" Type="http://schemas.openxmlformats.org/officeDocument/2006/relationships/hyperlink" Target="https://www.caixabank.es/particular/hipotecas/casafacil.html" TargetMode="External"/><Relationship Id="rId10" Type="http://schemas.openxmlformats.org/officeDocument/2006/relationships/hyperlink" Target="https://hipotecas.pibank.es/" TargetMode="External"/><Relationship Id="rId19" Type="http://schemas.openxmlformats.org/officeDocument/2006/relationships/comments" Target="../comments2.xml"/><Relationship Id="rId4" Type="http://schemas.openxmlformats.org/officeDocument/2006/relationships/hyperlink" Target="https://www.bancosantander.es/particulares/hipotecas/no-residentes" TargetMode="External"/><Relationship Id="rId9" Type="http://schemas.openxmlformats.org/officeDocument/2006/relationships/hyperlink" Target="https://www.idealista.com/hipotecas/comparador-hipotecas/hipotecas-cajamar/cajamar-fijo-1v-1?precio-inmueble=150000&amp;ahorros-aportados=60600&amp;plazo-hipoteca=30&amp;interes-fijo&amp;zona=Madrid&amp;condicion=1&amp;tipo-compra=5" TargetMode="External"/><Relationship Id="rId14" Type="http://schemas.openxmlformats.org/officeDocument/2006/relationships/hyperlink" Target="https://www.bancamarch.es/es/simulador-de-hipote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9"/>
  <sheetViews>
    <sheetView tabSelected="1" zoomScale="85" zoomScaleNormal="85" workbookViewId="0">
      <pane xSplit="3" ySplit="1" topLeftCell="D62" activePane="bottomRight" state="frozen"/>
      <selection pane="topRight" activeCell="B1" sqref="B1"/>
      <selection pane="bottomLeft" activeCell="A2" sqref="A2"/>
      <selection pane="bottomRight" activeCell="M66" sqref="M66"/>
    </sheetView>
  </sheetViews>
  <sheetFormatPr defaultRowHeight="15" x14ac:dyDescent="0.25"/>
  <cols>
    <col min="1" max="1" width="8.7109375" bestFit="1" customWidth="1"/>
    <col min="2" max="2" width="11.42578125" bestFit="1" customWidth="1"/>
    <col min="3" max="3" width="18.5703125" customWidth="1"/>
    <col min="4" max="4" width="19.140625" bestFit="1" customWidth="1"/>
    <col min="5" max="5" width="16.28515625" bestFit="1" customWidth="1"/>
    <col min="6" max="6" width="12.7109375" bestFit="1" customWidth="1"/>
    <col min="7" max="7" width="12.7109375" customWidth="1"/>
    <col min="8" max="8" width="19.5703125" customWidth="1"/>
    <col min="9" max="9" width="20.7109375" bestFit="1" customWidth="1"/>
    <col min="10" max="10" width="19" customWidth="1"/>
    <col min="11" max="11" width="16.7109375" bestFit="1" customWidth="1"/>
    <col min="12" max="12" width="16.7109375" style="20" customWidth="1"/>
    <col min="13" max="13" width="22.140625" bestFit="1" customWidth="1"/>
    <col min="14" max="14" width="40.140625" bestFit="1" customWidth="1"/>
    <col min="15" max="15" width="28.7109375" style="21" bestFit="1" customWidth="1"/>
    <col min="16" max="16" width="33.28515625" style="21" customWidth="1"/>
    <col min="17" max="17" width="12.5703125" style="20" customWidth="1"/>
    <col min="19" max="19" width="39.5703125" bestFit="1" customWidth="1"/>
    <col min="20" max="20" width="39" style="21" bestFit="1" customWidth="1"/>
    <col min="21" max="21" width="38.7109375" bestFit="1" customWidth="1"/>
    <col min="22" max="22" width="12.140625" bestFit="1" customWidth="1"/>
  </cols>
  <sheetData>
    <row r="1" spans="1:22" x14ac:dyDescent="0.25">
      <c r="A1" t="s">
        <v>122</v>
      </c>
      <c r="B1" t="s">
        <v>24</v>
      </c>
      <c r="C1" s="14" t="s">
        <v>0</v>
      </c>
      <c r="D1" s="14" t="s">
        <v>23</v>
      </c>
      <c r="E1" s="14" t="s">
        <v>121</v>
      </c>
      <c r="F1" s="14" t="s">
        <v>18</v>
      </c>
      <c r="G1" s="14" t="s">
        <v>19</v>
      </c>
      <c r="H1" s="14" t="s">
        <v>1</v>
      </c>
      <c r="I1" s="14" t="s">
        <v>145</v>
      </c>
      <c r="J1" s="14" t="s">
        <v>27</v>
      </c>
      <c r="K1" s="14" t="s">
        <v>2</v>
      </c>
      <c r="L1" s="15" t="s">
        <v>20</v>
      </c>
      <c r="M1" s="14" t="s">
        <v>146</v>
      </c>
      <c r="N1" s="14" t="s">
        <v>40</v>
      </c>
      <c r="O1" s="16" t="s">
        <v>144</v>
      </c>
      <c r="P1" s="16" t="s">
        <v>287</v>
      </c>
      <c r="Q1" s="17" t="s">
        <v>120</v>
      </c>
      <c r="R1" s="18" t="s">
        <v>100</v>
      </c>
      <c r="S1" s="18" t="s">
        <v>125</v>
      </c>
      <c r="T1" s="16" t="s">
        <v>147</v>
      </c>
      <c r="U1" s="16" t="s">
        <v>148</v>
      </c>
      <c r="V1" s="16" t="s">
        <v>152</v>
      </c>
    </row>
    <row r="2" spans="1:22" x14ac:dyDescent="0.25">
      <c r="A2">
        <v>2</v>
      </c>
      <c r="B2" t="s">
        <v>25</v>
      </c>
      <c r="C2" t="s">
        <v>8</v>
      </c>
      <c r="D2" t="s">
        <v>5</v>
      </c>
      <c r="E2">
        <v>150000</v>
      </c>
      <c r="F2">
        <v>100000</v>
      </c>
      <c r="G2" s="22" t="s">
        <v>126</v>
      </c>
      <c r="H2">
        <v>3.84</v>
      </c>
      <c r="I2">
        <v>30</v>
      </c>
      <c r="J2" t="s">
        <v>116</v>
      </c>
      <c r="K2">
        <v>15</v>
      </c>
      <c r="L2" s="20">
        <v>0.8</v>
      </c>
      <c r="M2" t="s">
        <v>41</v>
      </c>
      <c r="N2" t="s">
        <v>161</v>
      </c>
      <c r="O2" s="21">
        <v>-1</v>
      </c>
      <c r="P2" s="21" t="s">
        <v>149</v>
      </c>
      <c r="Q2" s="20">
        <v>0.5</v>
      </c>
      <c r="S2" t="s">
        <v>271</v>
      </c>
      <c r="T2" s="21">
        <v>0</v>
      </c>
      <c r="U2" t="s">
        <v>151</v>
      </c>
      <c r="V2">
        <v>0</v>
      </c>
    </row>
    <row r="3" spans="1:22" x14ac:dyDescent="0.25">
      <c r="A3">
        <v>2</v>
      </c>
      <c r="B3" t="s">
        <v>25</v>
      </c>
      <c r="C3" t="s">
        <v>8</v>
      </c>
      <c r="D3" t="s">
        <v>5</v>
      </c>
      <c r="E3">
        <v>150000</v>
      </c>
      <c r="F3">
        <v>100000</v>
      </c>
      <c r="G3" s="22" t="s">
        <v>126</v>
      </c>
      <c r="H3">
        <v>3.66</v>
      </c>
      <c r="I3">
        <v>30</v>
      </c>
      <c r="J3" t="s">
        <v>116</v>
      </c>
      <c r="K3">
        <v>30</v>
      </c>
      <c r="L3" s="20">
        <v>0.8</v>
      </c>
      <c r="M3" t="s">
        <v>115</v>
      </c>
      <c r="N3" t="s">
        <v>204</v>
      </c>
      <c r="O3" s="21">
        <v>-1</v>
      </c>
      <c r="P3" s="21" t="s">
        <v>149</v>
      </c>
      <c r="Q3" s="20">
        <v>0.5</v>
      </c>
      <c r="S3" t="s">
        <v>281</v>
      </c>
      <c r="T3" s="21">
        <v>0</v>
      </c>
      <c r="U3" t="s">
        <v>151</v>
      </c>
      <c r="V3">
        <v>0</v>
      </c>
    </row>
    <row r="4" spans="1:22" x14ac:dyDescent="0.25">
      <c r="A4">
        <v>5</v>
      </c>
      <c r="B4" t="s">
        <v>25</v>
      </c>
      <c r="C4" t="s">
        <v>12</v>
      </c>
      <c r="D4" t="s">
        <v>5</v>
      </c>
      <c r="E4">
        <v>150000</v>
      </c>
      <c r="F4">
        <v>100000</v>
      </c>
      <c r="G4" t="s">
        <v>22</v>
      </c>
      <c r="H4">
        <v>4.09</v>
      </c>
      <c r="I4">
        <v>30</v>
      </c>
      <c r="J4" t="s">
        <v>116</v>
      </c>
      <c r="K4">
        <v>15</v>
      </c>
      <c r="L4" s="20">
        <v>0.94666666666666666</v>
      </c>
      <c r="M4" t="s">
        <v>41</v>
      </c>
      <c r="N4" t="s">
        <v>166</v>
      </c>
      <c r="O4" s="21">
        <v>-0.61799999999999999</v>
      </c>
      <c r="P4" s="21" t="s">
        <v>149</v>
      </c>
      <c r="Q4" s="20">
        <v>1</v>
      </c>
      <c r="S4" t="s">
        <v>260</v>
      </c>
      <c r="T4" s="21">
        <v>0.54568468535148051</v>
      </c>
      <c r="U4" t="s">
        <v>150</v>
      </c>
      <c r="V4">
        <v>1</v>
      </c>
    </row>
    <row r="5" spans="1:22" x14ac:dyDescent="0.25">
      <c r="A5">
        <v>5</v>
      </c>
      <c r="B5" t="s">
        <v>25</v>
      </c>
      <c r="C5" t="s">
        <v>12</v>
      </c>
      <c r="D5" t="s">
        <v>5</v>
      </c>
      <c r="E5">
        <v>150000</v>
      </c>
      <c r="F5">
        <v>100000</v>
      </c>
      <c r="G5" t="s">
        <v>22</v>
      </c>
      <c r="H5">
        <v>4.26</v>
      </c>
      <c r="I5">
        <v>30</v>
      </c>
      <c r="J5" t="s">
        <v>117</v>
      </c>
      <c r="K5">
        <v>15</v>
      </c>
      <c r="L5" s="20">
        <v>0.94666666666666666</v>
      </c>
      <c r="M5" t="s">
        <v>41</v>
      </c>
      <c r="N5" t="s">
        <v>157</v>
      </c>
      <c r="O5" s="21">
        <v>-0.61799999999999999</v>
      </c>
      <c r="P5" s="21" t="s">
        <v>149</v>
      </c>
      <c r="Q5" s="20">
        <v>1</v>
      </c>
      <c r="S5" t="s">
        <v>261</v>
      </c>
      <c r="T5" s="21">
        <v>0.54568468535148051</v>
      </c>
      <c r="U5" t="s">
        <v>150</v>
      </c>
      <c r="V5">
        <v>1</v>
      </c>
    </row>
    <row r="6" spans="1:22" x14ac:dyDescent="0.25">
      <c r="A6">
        <v>5</v>
      </c>
      <c r="B6" t="s">
        <v>25</v>
      </c>
      <c r="C6" t="s">
        <v>12</v>
      </c>
      <c r="D6" t="s">
        <v>5</v>
      </c>
      <c r="E6">
        <v>150000</v>
      </c>
      <c r="F6">
        <v>100000</v>
      </c>
      <c r="G6" t="s">
        <v>22</v>
      </c>
      <c r="H6">
        <v>4.09</v>
      </c>
      <c r="I6">
        <v>30</v>
      </c>
      <c r="J6" t="s">
        <v>116</v>
      </c>
      <c r="K6">
        <v>25</v>
      </c>
      <c r="L6" s="20">
        <v>0.94666666666666666</v>
      </c>
      <c r="M6" t="s">
        <v>115</v>
      </c>
      <c r="N6" t="s">
        <v>185</v>
      </c>
      <c r="O6" s="21">
        <v>-0.61799999999999999</v>
      </c>
      <c r="P6" s="21" t="s">
        <v>149</v>
      </c>
      <c r="Q6" s="20">
        <v>1</v>
      </c>
      <c r="S6" t="s">
        <v>264</v>
      </c>
      <c r="T6" s="21">
        <v>0.54568468535148051</v>
      </c>
      <c r="U6" t="s">
        <v>150</v>
      </c>
      <c r="V6">
        <v>1</v>
      </c>
    </row>
    <row r="7" spans="1:22" x14ac:dyDescent="0.25">
      <c r="A7">
        <v>5</v>
      </c>
      <c r="B7" t="s">
        <v>25</v>
      </c>
      <c r="C7" t="s">
        <v>12</v>
      </c>
      <c r="D7" t="s">
        <v>5</v>
      </c>
      <c r="E7">
        <v>150000</v>
      </c>
      <c r="F7">
        <v>100000</v>
      </c>
      <c r="G7" t="s">
        <v>22</v>
      </c>
      <c r="H7">
        <v>4.13</v>
      </c>
      <c r="I7">
        <v>30</v>
      </c>
      <c r="J7" t="s">
        <v>117</v>
      </c>
      <c r="K7">
        <v>25</v>
      </c>
      <c r="L7" s="20">
        <v>0.94666666666666666</v>
      </c>
      <c r="M7" t="s">
        <v>115</v>
      </c>
      <c r="N7" t="s">
        <v>183</v>
      </c>
      <c r="O7" s="21">
        <v>-0.61799999999999999</v>
      </c>
      <c r="P7" s="21" t="s">
        <v>149</v>
      </c>
      <c r="Q7" s="20">
        <v>1</v>
      </c>
      <c r="S7" t="s">
        <v>265</v>
      </c>
      <c r="T7" s="21">
        <v>0.54568468535148051</v>
      </c>
      <c r="U7" t="s">
        <v>150</v>
      </c>
      <c r="V7">
        <v>1</v>
      </c>
    </row>
    <row r="8" spans="1:22" x14ac:dyDescent="0.25">
      <c r="A8">
        <v>5</v>
      </c>
      <c r="B8" t="s">
        <v>25</v>
      </c>
      <c r="C8" t="s">
        <v>12</v>
      </c>
      <c r="D8" t="s">
        <v>5</v>
      </c>
      <c r="E8">
        <v>150000</v>
      </c>
      <c r="F8">
        <v>100000</v>
      </c>
      <c r="G8" t="s">
        <v>22</v>
      </c>
      <c r="H8">
        <v>4.08</v>
      </c>
      <c r="I8">
        <v>30</v>
      </c>
      <c r="J8" t="s">
        <v>116</v>
      </c>
      <c r="K8">
        <v>30</v>
      </c>
      <c r="L8" s="20">
        <v>0.94666666666666666</v>
      </c>
      <c r="M8" t="s">
        <v>115</v>
      </c>
      <c r="N8" t="s">
        <v>185</v>
      </c>
      <c r="O8" s="21">
        <v>-0.61799999999999999</v>
      </c>
      <c r="P8" s="21" t="s">
        <v>149</v>
      </c>
      <c r="Q8" s="20">
        <v>1</v>
      </c>
      <c r="S8" t="s">
        <v>266</v>
      </c>
      <c r="T8" s="21">
        <v>0.54568468535148051</v>
      </c>
      <c r="U8" t="s">
        <v>150</v>
      </c>
      <c r="V8">
        <v>1</v>
      </c>
    </row>
    <row r="9" spans="1:22" x14ac:dyDescent="0.25">
      <c r="A9">
        <v>5</v>
      </c>
      <c r="B9" t="s">
        <v>25</v>
      </c>
      <c r="C9" t="s">
        <v>12</v>
      </c>
      <c r="D9" t="s">
        <v>5</v>
      </c>
      <c r="E9">
        <v>150000</v>
      </c>
      <c r="F9">
        <v>100000</v>
      </c>
      <c r="G9" t="s">
        <v>22</v>
      </c>
      <c r="H9">
        <v>4.08</v>
      </c>
      <c r="I9">
        <v>30</v>
      </c>
      <c r="J9" t="s">
        <v>117</v>
      </c>
      <c r="K9">
        <v>30</v>
      </c>
      <c r="L9" s="20">
        <v>0.94666666666666666</v>
      </c>
      <c r="M9" t="s">
        <v>115</v>
      </c>
      <c r="N9" t="s">
        <v>183</v>
      </c>
      <c r="O9" s="21">
        <v>-0.61799999999999999</v>
      </c>
      <c r="P9" s="21" t="s">
        <v>149</v>
      </c>
      <c r="Q9" s="20">
        <v>1</v>
      </c>
      <c r="S9" t="s">
        <v>267</v>
      </c>
      <c r="T9" s="21">
        <v>0.54568468535148051</v>
      </c>
      <c r="U9" t="s">
        <v>150</v>
      </c>
      <c r="V9">
        <v>1</v>
      </c>
    </row>
    <row r="10" spans="1:22" x14ac:dyDescent="0.25">
      <c r="A10">
        <v>7</v>
      </c>
      <c r="B10" t="s">
        <v>25</v>
      </c>
      <c r="C10" t="s">
        <v>54</v>
      </c>
      <c r="D10" t="s">
        <v>5</v>
      </c>
      <c r="E10">
        <v>150000</v>
      </c>
      <c r="F10">
        <v>100000</v>
      </c>
      <c r="G10" t="s">
        <v>22</v>
      </c>
      <c r="H10">
        <v>4.0149999999999997</v>
      </c>
      <c r="I10">
        <v>30</v>
      </c>
      <c r="J10" t="s">
        <v>116</v>
      </c>
      <c r="K10">
        <v>15</v>
      </c>
      <c r="L10" s="20">
        <v>0.8</v>
      </c>
      <c r="M10" t="s">
        <v>41</v>
      </c>
      <c r="N10" t="s">
        <v>166</v>
      </c>
      <c r="O10" s="21">
        <v>-0.36899999999999999</v>
      </c>
      <c r="P10" s="21" t="s">
        <v>149</v>
      </c>
      <c r="Q10" s="20">
        <v>1</v>
      </c>
      <c r="S10" t="s">
        <v>173</v>
      </c>
      <c r="T10" s="21">
        <v>-0.74621481850756588</v>
      </c>
      <c r="U10" t="s">
        <v>149</v>
      </c>
      <c r="V10">
        <v>1</v>
      </c>
    </row>
    <row r="11" spans="1:22" x14ac:dyDescent="0.25">
      <c r="A11">
        <v>7</v>
      </c>
      <c r="B11" t="s">
        <v>25</v>
      </c>
      <c r="C11" t="s">
        <v>54</v>
      </c>
      <c r="D11" t="s">
        <v>5</v>
      </c>
      <c r="E11">
        <v>150000</v>
      </c>
      <c r="F11">
        <v>100000</v>
      </c>
      <c r="G11" t="s">
        <v>22</v>
      </c>
      <c r="H11">
        <v>4.0170000000000003</v>
      </c>
      <c r="I11">
        <v>30</v>
      </c>
      <c r="J11" t="s">
        <v>117</v>
      </c>
      <c r="K11">
        <v>15</v>
      </c>
      <c r="L11" s="20">
        <v>0.8</v>
      </c>
      <c r="M11" t="s">
        <v>41</v>
      </c>
      <c r="N11" t="s">
        <v>157</v>
      </c>
      <c r="O11" s="21">
        <v>-0.36899999999999999</v>
      </c>
      <c r="P11" s="21" t="s">
        <v>149</v>
      </c>
      <c r="Q11" s="20">
        <v>1</v>
      </c>
      <c r="S11" t="s">
        <v>174</v>
      </c>
      <c r="T11" s="21">
        <v>-0.74621481850756588</v>
      </c>
      <c r="U11" t="s">
        <v>149</v>
      </c>
      <c r="V11">
        <v>1</v>
      </c>
    </row>
    <row r="12" spans="1:22" x14ac:dyDescent="0.25">
      <c r="A12">
        <v>7</v>
      </c>
      <c r="B12" t="s">
        <v>25</v>
      </c>
      <c r="C12" t="s">
        <v>54</v>
      </c>
      <c r="D12" t="s">
        <v>5</v>
      </c>
      <c r="E12">
        <v>150000</v>
      </c>
      <c r="F12">
        <v>100000</v>
      </c>
      <c r="G12" t="s">
        <v>22</v>
      </c>
      <c r="H12">
        <v>3.891</v>
      </c>
      <c r="I12">
        <v>30</v>
      </c>
      <c r="J12" t="s">
        <v>117</v>
      </c>
      <c r="K12">
        <v>25</v>
      </c>
      <c r="L12" s="20">
        <v>0.8</v>
      </c>
      <c r="M12" t="s">
        <v>115</v>
      </c>
      <c r="N12" t="s">
        <v>183</v>
      </c>
      <c r="O12" s="21">
        <v>-0.36899999999999999</v>
      </c>
      <c r="P12" s="21" t="s">
        <v>149</v>
      </c>
      <c r="Q12" s="20">
        <v>1</v>
      </c>
      <c r="S12" t="s">
        <v>208</v>
      </c>
      <c r="T12" s="21">
        <v>-0.74621481850756588</v>
      </c>
      <c r="U12" t="s">
        <v>149</v>
      </c>
      <c r="V12">
        <v>1</v>
      </c>
    </row>
    <row r="13" spans="1:22" x14ac:dyDescent="0.25">
      <c r="A13">
        <v>7</v>
      </c>
      <c r="B13" t="s">
        <v>25</v>
      </c>
      <c r="C13" t="s">
        <v>54</v>
      </c>
      <c r="D13" t="s">
        <v>5</v>
      </c>
      <c r="E13">
        <v>150000</v>
      </c>
      <c r="F13">
        <v>100000</v>
      </c>
      <c r="G13" t="s">
        <v>22</v>
      </c>
      <c r="H13">
        <v>4.0430000000000001</v>
      </c>
      <c r="I13">
        <v>30</v>
      </c>
      <c r="J13" t="s">
        <v>116</v>
      </c>
      <c r="K13">
        <v>25</v>
      </c>
      <c r="L13" s="20">
        <v>0.8</v>
      </c>
      <c r="M13" t="s">
        <v>115</v>
      </c>
      <c r="N13" t="s">
        <v>185</v>
      </c>
      <c r="O13" s="21">
        <v>-0.36899999999999999</v>
      </c>
      <c r="P13" s="21" t="s">
        <v>149</v>
      </c>
      <c r="Q13" s="20">
        <v>1</v>
      </c>
      <c r="S13" t="s">
        <v>213</v>
      </c>
      <c r="T13" s="21">
        <v>-0.74621481850756588</v>
      </c>
      <c r="U13" t="s">
        <v>149</v>
      </c>
      <c r="V13">
        <v>1</v>
      </c>
    </row>
    <row r="14" spans="1:22" x14ac:dyDescent="0.25">
      <c r="A14">
        <v>7</v>
      </c>
      <c r="B14" t="s">
        <v>25</v>
      </c>
      <c r="C14" t="s">
        <v>54</v>
      </c>
      <c r="D14" t="s">
        <v>5</v>
      </c>
      <c r="E14">
        <v>150000</v>
      </c>
      <c r="F14">
        <v>100000</v>
      </c>
      <c r="G14" t="s">
        <v>22</v>
      </c>
      <c r="H14">
        <v>3.843</v>
      </c>
      <c r="I14">
        <v>30</v>
      </c>
      <c r="J14" t="s">
        <v>117</v>
      </c>
      <c r="K14">
        <v>30</v>
      </c>
      <c r="L14" s="20">
        <v>0.8</v>
      </c>
      <c r="M14" t="s">
        <v>115</v>
      </c>
      <c r="N14" t="s">
        <v>183</v>
      </c>
      <c r="O14" s="21">
        <v>-0.36899999999999999</v>
      </c>
      <c r="P14" s="21" t="s">
        <v>149</v>
      </c>
      <c r="Q14" s="20">
        <v>1</v>
      </c>
      <c r="S14" t="s">
        <v>236</v>
      </c>
      <c r="T14" s="21">
        <v>-0.74621481850756588</v>
      </c>
      <c r="U14" t="s">
        <v>149</v>
      </c>
      <c r="V14">
        <v>1</v>
      </c>
    </row>
    <row r="15" spans="1:22" x14ac:dyDescent="0.25">
      <c r="A15">
        <v>7</v>
      </c>
      <c r="B15" t="s">
        <v>25</v>
      </c>
      <c r="C15" t="s">
        <v>54</v>
      </c>
      <c r="D15" t="s">
        <v>5</v>
      </c>
      <c r="E15">
        <v>150000</v>
      </c>
      <c r="F15">
        <v>100000</v>
      </c>
      <c r="G15" t="s">
        <v>22</v>
      </c>
      <c r="H15">
        <v>4.0490000000000004</v>
      </c>
      <c r="I15">
        <v>30</v>
      </c>
      <c r="J15" t="s">
        <v>116</v>
      </c>
      <c r="K15">
        <v>30</v>
      </c>
      <c r="L15" s="20">
        <v>0.8</v>
      </c>
      <c r="M15" t="s">
        <v>115</v>
      </c>
      <c r="N15" t="s">
        <v>185</v>
      </c>
      <c r="O15" s="21">
        <v>-0.36899999999999999</v>
      </c>
      <c r="P15" s="21" t="s">
        <v>149</v>
      </c>
      <c r="Q15" s="20">
        <v>1</v>
      </c>
      <c r="S15" t="s">
        <v>241</v>
      </c>
      <c r="T15" s="21">
        <v>-0.74621481850756588</v>
      </c>
      <c r="U15" t="s">
        <v>149</v>
      </c>
      <c r="V15">
        <v>1</v>
      </c>
    </row>
    <row r="16" spans="1:22" x14ac:dyDescent="0.25">
      <c r="A16">
        <v>3</v>
      </c>
      <c r="B16" t="s">
        <v>25</v>
      </c>
      <c r="C16" t="s">
        <v>9</v>
      </c>
      <c r="D16" s="19" t="s">
        <v>7</v>
      </c>
      <c r="E16" s="19">
        <v>150000</v>
      </c>
      <c r="F16" s="19">
        <v>100000</v>
      </c>
      <c r="G16" t="s">
        <v>22</v>
      </c>
      <c r="H16" s="19">
        <v>4.5609999999999999</v>
      </c>
      <c r="I16">
        <v>20</v>
      </c>
      <c r="J16" t="s">
        <v>116</v>
      </c>
      <c r="K16" s="19">
        <v>15</v>
      </c>
      <c r="L16" s="20">
        <v>0.7</v>
      </c>
      <c r="M16" s="19" t="s">
        <v>41</v>
      </c>
      <c r="N16" t="s">
        <v>155</v>
      </c>
      <c r="O16" s="21">
        <v>-0.24199999999999999</v>
      </c>
      <c r="P16" s="21" t="s">
        <v>149</v>
      </c>
      <c r="Q16" s="20">
        <v>1</v>
      </c>
      <c r="S16" t="s">
        <v>257</v>
      </c>
      <c r="T16" s="21">
        <v>0.31982939893519752</v>
      </c>
      <c r="U16" t="s">
        <v>150</v>
      </c>
      <c r="V16">
        <v>1</v>
      </c>
    </row>
    <row r="17" spans="1:22" x14ac:dyDescent="0.25">
      <c r="A17">
        <v>3</v>
      </c>
      <c r="B17" t="s">
        <v>25</v>
      </c>
      <c r="C17" t="s">
        <v>9</v>
      </c>
      <c r="D17" t="s">
        <v>7</v>
      </c>
      <c r="E17">
        <v>150000</v>
      </c>
      <c r="F17">
        <v>100000</v>
      </c>
      <c r="G17" t="s">
        <v>22</v>
      </c>
      <c r="H17">
        <v>5.2619999999999996</v>
      </c>
      <c r="I17">
        <v>20</v>
      </c>
      <c r="J17" t="s">
        <v>117</v>
      </c>
      <c r="K17">
        <v>20</v>
      </c>
      <c r="L17" s="20">
        <v>0.7</v>
      </c>
      <c r="M17" t="s">
        <v>115</v>
      </c>
      <c r="N17" t="s">
        <v>190</v>
      </c>
      <c r="O17" s="21">
        <v>-0.24199999999999999</v>
      </c>
      <c r="P17" s="21" t="s">
        <v>149</v>
      </c>
      <c r="Q17" s="20">
        <v>1</v>
      </c>
      <c r="S17" t="s">
        <v>258</v>
      </c>
      <c r="T17" s="21">
        <v>0.31982939893519752</v>
      </c>
      <c r="U17" t="s">
        <v>150</v>
      </c>
      <c r="V17">
        <v>1</v>
      </c>
    </row>
    <row r="18" spans="1:22" x14ac:dyDescent="0.25">
      <c r="A18">
        <v>3</v>
      </c>
      <c r="B18" t="s">
        <v>25</v>
      </c>
      <c r="C18" t="s">
        <v>9</v>
      </c>
      <c r="D18" t="s">
        <v>7</v>
      </c>
      <c r="E18">
        <v>150000</v>
      </c>
      <c r="F18">
        <v>100000</v>
      </c>
      <c r="G18" t="s">
        <v>22</v>
      </c>
      <c r="H18">
        <v>4.5199999999999996</v>
      </c>
      <c r="I18">
        <v>20</v>
      </c>
      <c r="J18" t="s">
        <v>116</v>
      </c>
      <c r="K18">
        <v>20</v>
      </c>
      <c r="L18" s="20">
        <v>0.7</v>
      </c>
      <c r="M18" t="s">
        <v>115</v>
      </c>
      <c r="N18" t="s">
        <v>196</v>
      </c>
      <c r="O18" s="21">
        <v>-0.24199999999999999</v>
      </c>
      <c r="P18" s="21" t="s">
        <v>149</v>
      </c>
      <c r="Q18" s="20">
        <v>1</v>
      </c>
      <c r="S18" t="s">
        <v>259</v>
      </c>
      <c r="T18" s="21">
        <v>0.31982939893519752</v>
      </c>
      <c r="U18" t="s">
        <v>150</v>
      </c>
      <c r="V18">
        <v>1</v>
      </c>
    </row>
    <row r="19" spans="1:22" x14ac:dyDescent="0.25">
      <c r="A19">
        <v>3</v>
      </c>
      <c r="B19" t="s">
        <v>25</v>
      </c>
      <c r="C19" t="s">
        <v>9</v>
      </c>
      <c r="D19" t="s">
        <v>5</v>
      </c>
      <c r="E19">
        <v>150000</v>
      </c>
      <c r="F19">
        <v>100000</v>
      </c>
      <c r="G19" t="s">
        <v>22</v>
      </c>
      <c r="H19">
        <v>4.335</v>
      </c>
      <c r="I19">
        <v>30</v>
      </c>
      <c r="J19" t="s">
        <v>116</v>
      </c>
      <c r="K19">
        <v>15</v>
      </c>
      <c r="L19" s="20">
        <v>0.8</v>
      </c>
      <c r="M19" t="s">
        <v>41</v>
      </c>
      <c r="N19" t="s">
        <v>166</v>
      </c>
      <c r="O19" s="21">
        <v>-0.24199999999999999</v>
      </c>
      <c r="P19" s="21" t="s">
        <v>149</v>
      </c>
      <c r="Q19" s="20">
        <v>1</v>
      </c>
      <c r="S19" t="s">
        <v>262</v>
      </c>
      <c r="T19" s="21">
        <v>0.31982939893519752</v>
      </c>
      <c r="U19" t="s">
        <v>150</v>
      </c>
      <c r="V19">
        <v>1</v>
      </c>
    </row>
    <row r="20" spans="1:22" x14ac:dyDescent="0.25">
      <c r="A20">
        <v>3</v>
      </c>
      <c r="B20" t="s">
        <v>25</v>
      </c>
      <c r="C20" t="s">
        <v>9</v>
      </c>
      <c r="D20" t="s">
        <v>5</v>
      </c>
      <c r="E20">
        <v>150000</v>
      </c>
      <c r="F20">
        <v>100000</v>
      </c>
      <c r="G20" t="s">
        <v>22</v>
      </c>
      <c r="H20">
        <v>4.4000000000000004</v>
      </c>
      <c r="I20">
        <v>30</v>
      </c>
      <c r="J20" t="s">
        <v>117</v>
      </c>
      <c r="K20">
        <v>15</v>
      </c>
      <c r="L20" s="20">
        <v>0.8</v>
      </c>
      <c r="M20" t="s">
        <v>41</v>
      </c>
      <c r="N20" t="s">
        <v>157</v>
      </c>
      <c r="O20" s="21">
        <v>-0.24199999999999999</v>
      </c>
      <c r="P20" s="21" t="s">
        <v>149</v>
      </c>
      <c r="Q20" s="20">
        <v>1</v>
      </c>
      <c r="S20" t="s">
        <v>263</v>
      </c>
      <c r="T20" s="21">
        <v>0.31982939893519752</v>
      </c>
      <c r="U20" t="s">
        <v>150</v>
      </c>
      <c r="V20">
        <v>1</v>
      </c>
    </row>
    <row r="21" spans="1:22" x14ac:dyDescent="0.25">
      <c r="A21">
        <v>3</v>
      </c>
      <c r="B21" t="s">
        <v>25</v>
      </c>
      <c r="C21" t="s">
        <v>9</v>
      </c>
      <c r="D21" t="s">
        <v>5</v>
      </c>
      <c r="E21">
        <v>150000</v>
      </c>
      <c r="F21">
        <v>100000</v>
      </c>
      <c r="G21" t="s">
        <v>22</v>
      </c>
      <c r="H21">
        <v>4.2560000000000002</v>
      </c>
      <c r="I21">
        <v>30</v>
      </c>
      <c r="J21" t="s">
        <v>117</v>
      </c>
      <c r="K21">
        <v>30</v>
      </c>
      <c r="L21" s="20">
        <v>0.8</v>
      </c>
      <c r="M21" t="s">
        <v>115</v>
      </c>
      <c r="N21" t="s">
        <v>183</v>
      </c>
      <c r="O21" s="21">
        <v>-0.24199999999999999</v>
      </c>
      <c r="P21" s="21" t="s">
        <v>149</v>
      </c>
      <c r="Q21" s="20">
        <v>1</v>
      </c>
      <c r="S21" t="s">
        <v>268</v>
      </c>
      <c r="T21" s="21">
        <v>0.31982939893519752</v>
      </c>
      <c r="U21" t="s">
        <v>150</v>
      </c>
      <c r="V21">
        <v>1</v>
      </c>
    </row>
    <row r="22" spans="1:22" x14ac:dyDescent="0.25">
      <c r="A22">
        <v>3</v>
      </c>
      <c r="B22" t="s">
        <v>25</v>
      </c>
      <c r="C22" t="s">
        <v>9</v>
      </c>
      <c r="D22" t="s">
        <v>5</v>
      </c>
      <c r="E22">
        <v>150000</v>
      </c>
      <c r="F22">
        <v>100000</v>
      </c>
      <c r="G22" t="s">
        <v>22</v>
      </c>
      <c r="H22">
        <v>4.3170000000000002</v>
      </c>
      <c r="I22">
        <v>30</v>
      </c>
      <c r="J22" t="s">
        <v>116</v>
      </c>
      <c r="K22">
        <v>30</v>
      </c>
      <c r="L22" s="20">
        <v>0.8</v>
      </c>
      <c r="M22" t="s">
        <v>115</v>
      </c>
      <c r="N22" t="s">
        <v>185</v>
      </c>
      <c r="O22" s="21">
        <v>-0.24199999999999999</v>
      </c>
      <c r="P22" s="21" t="s">
        <v>149</v>
      </c>
      <c r="Q22" s="20">
        <v>1</v>
      </c>
      <c r="S22" t="s">
        <v>269</v>
      </c>
      <c r="T22" s="21">
        <v>0.31982939893519752</v>
      </c>
      <c r="U22" t="s">
        <v>150</v>
      </c>
      <c r="V22">
        <v>1</v>
      </c>
    </row>
    <row r="23" spans="1:22" x14ac:dyDescent="0.25">
      <c r="A23">
        <v>9</v>
      </c>
      <c r="B23" t="s">
        <v>25</v>
      </c>
      <c r="C23" t="s">
        <v>65</v>
      </c>
      <c r="D23" t="s">
        <v>5</v>
      </c>
      <c r="E23">
        <v>150000</v>
      </c>
      <c r="F23">
        <v>100000</v>
      </c>
      <c r="G23" t="s">
        <v>22</v>
      </c>
      <c r="H23">
        <v>3.54</v>
      </c>
      <c r="I23">
        <v>30</v>
      </c>
      <c r="J23" t="s">
        <v>117</v>
      </c>
      <c r="K23">
        <v>15</v>
      </c>
      <c r="L23" s="20">
        <v>0.8</v>
      </c>
      <c r="M23" t="s">
        <v>41</v>
      </c>
      <c r="N23" t="s">
        <v>157</v>
      </c>
      <c r="O23" s="21">
        <v>-0.188</v>
      </c>
      <c r="P23" s="21" t="s">
        <v>149</v>
      </c>
      <c r="Q23" s="20">
        <v>1</v>
      </c>
      <c r="S23" t="s">
        <v>170</v>
      </c>
      <c r="T23" s="21">
        <v>-0.20109881709322219</v>
      </c>
      <c r="U23" t="s">
        <v>149</v>
      </c>
      <c r="V23">
        <v>1</v>
      </c>
    </row>
    <row r="24" spans="1:22" x14ac:dyDescent="0.25">
      <c r="A24">
        <v>9</v>
      </c>
      <c r="B24" t="s">
        <v>25</v>
      </c>
      <c r="C24" t="s">
        <v>65</v>
      </c>
      <c r="D24" t="s">
        <v>5</v>
      </c>
      <c r="E24">
        <v>150000</v>
      </c>
      <c r="F24">
        <v>100000</v>
      </c>
      <c r="G24" t="s">
        <v>22</v>
      </c>
      <c r="H24">
        <v>3.94</v>
      </c>
      <c r="I24">
        <v>30</v>
      </c>
      <c r="J24" t="s">
        <v>116</v>
      </c>
      <c r="K24">
        <v>15</v>
      </c>
      <c r="L24" s="20">
        <v>0.8</v>
      </c>
      <c r="M24" t="s">
        <v>41</v>
      </c>
      <c r="N24" t="s">
        <v>166</v>
      </c>
      <c r="O24" s="21">
        <v>-0.188</v>
      </c>
      <c r="P24" s="21" t="s">
        <v>149</v>
      </c>
      <c r="Q24" s="20">
        <v>1</v>
      </c>
      <c r="S24" t="s">
        <v>172</v>
      </c>
      <c r="T24" s="21">
        <v>-0.20109881709322219</v>
      </c>
      <c r="U24" t="s">
        <v>149</v>
      </c>
      <c r="V24">
        <v>1</v>
      </c>
    </row>
    <row r="25" spans="1:22" x14ac:dyDescent="0.25">
      <c r="A25">
        <v>9</v>
      </c>
      <c r="B25" t="s">
        <v>25</v>
      </c>
      <c r="C25" t="s">
        <v>65</v>
      </c>
      <c r="D25" t="s">
        <v>5</v>
      </c>
      <c r="E25">
        <v>150000</v>
      </c>
      <c r="F25">
        <v>100000</v>
      </c>
      <c r="G25" s="22" t="s">
        <v>126</v>
      </c>
      <c r="H25">
        <v>3.99</v>
      </c>
      <c r="I25">
        <v>30</v>
      </c>
      <c r="J25" t="s">
        <v>116</v>
      </c>
      <c r="K25">
        <v>15</v>
      </c>
      <c r="L25" s="20">
        <v>0.8</v>
      </c>
      <c r="M25" t="s">
        <v>41</v>
      </c>
      <c r="N25" t="s">
        <v>161</v>
      </c>
      <c r="O25" s="21">
        <v>-0.188</v>
      </c>
      <c r="P25" s="21" t="s">
        <v>149</v>
      </c>
      <c r="Q25" s="20">
        <v>6.6666666666666666E-2</v>
      </c>
      <c r="S25" t="s">
        <v>219</v>
      </c>
      <c r="T25" s="21">
        <v>-0.20109881709322219</v>
      </c>
      <c r="U25" t="s">
        <v>149</v>
      </c>
      <c r="V25">
        <v>1</v>
      </c>
    </row>
    <row r="26" spans="1:22" x14ac:dyDescent="0.25">
      <c r="A26">
        <v>9</v>
      </c>
      <c r="B26" t="s">
        <v>25</v>
      </c>
      <c r="C26" t="s">
        <v>65</v>
      </c>
      <c r="D26" t="s">
        <v>5</v>
      </c>
      <c r="E26">
        <v>150000</v>
      </c>
      <c r="F26">
        <v>100000</v>
      </c>
      <c r="G26" s="22" t="s">
        <v>126</v>
      </c>
      <c r="H26">
        <v>4.32</v>
      </c>
      <c r="I26">
        <v>30</v>
      </c>
      <c r="J26" t="s">
        <v>117</v>
      </c>
      <c r="K26">
        <v>15</v>
      </c>
      <c r="L26" s="20">
        <v>0.8</v>
      </c>
      <c r="M26" t="s">
        <v>41</v>
      </c>
      <c r="N26" t="s">
        <v>159</v>
      </c>
      <c r="O26" s="21">
        <v>-0.188</v>
      </c>
      <c r="P26" s="21" t="s">
        <v>149</v>
      </c>
      <c r="Q26" s="20">
        <v>6.6666666666666666E-2</v>
      </c>
      <c r="S26" t="s">
        <v>220</v>
      </c>
      <c r="T26" s="21">
        <v>-0.20109881709322219</v>
      </c>
      <c r="U26" t="s">
        <v>149</v>
      </c>
      <c r="V26">
        <v>1</v>
      </c>
    </row>
    <row r="27" spans="1:22" x14ac:dyDescent="0.25">
      <c r="A27">
        <v>9</v>
      </c>
      <c r="B27" t="s">
        <v>25</v>
      </c>
      <c r="C27" t="s">
        <v>65</v>
      </c>
      <c r="D27" t="s">
        <v>5</v>
      </c>
      <c r="E27">
        <v>150000</v>
      </c>
      <c r="F27">
        <v>100000</v>
      </c>
      <c r="G27" s="22" t="s">
        <v>126</v>
      </c>
      <c r="H27">
        <v>4.07</v>
      </c>
      <c r="I27">
        <v>30</v>
      </c>
      <c r="J27" t="s">
        <v>116</v>
      </c>
      <c r="K27">
        <v>25</v>
      </c>
      <c r="L27" s="20">
        <v>0.8</v>
      </c>
      <c r="M27" t="s">
        <v>115</v>
      </c>
      <c r="N27" t="s">
        <v>204</v>
      </c>
      <c r="O27" s="21">
        <v>-0.188</v>
      </c>
      <c r="P27" s="21" t="s">
        <v>149</v>
      </c>
      <c r="Q27" s="20">
        <v>0.04</v>
      </c>
      <c r="S27" t="s">
        <v>235</v>
      </c>
      <c r="T27" s="21">
        <v>-0.20109881709322219</v>
      </c>
      <c r="U27" t="s">
        <v>149</v>
      </c>
      <c r="V27">
        <v>1</v>
      </c>
    </row>
    <row r="28" spans="1:22" x14ac:dyDescent="0.25">
      <c r="A28">
        <v>9</v>
      </c>
      <c r="B28" t="s">
        <v>25</v>
      </c>
      <c r="C28" t="s">
        <v>65</v>
      </c>
      <c r="D28" t="s">
        <v>5</v>
      </c>
      <c r="E28">
        <v>150000</v>
      </c>
      <c r="F28">
        <v>100000</v>
      </c>
      <c r="G28" s="22" t="s">
        <v>126</v>
      </c>
      <c r="H28">
        <v>4.13</v>
      </c>
      <c r="I28">
        <v>30</v>
      </c>
      <c r="J28" t="s">
        <v>117</v>
      </c>
      <c r="K28">
        <v>25</v>
      </c>
      <c r="L28" s="20">
        <v>0.8</v>
      </c>
      <c r="M28" t="s">
        <v>115</v>
      </c>
      <c r="N28" t="s">
        <v>198</v>
      </c>
      <c r="O28" s="21">
        <v>-0.188</v>
      </c>
      <c r="P28" s="21" t="s">
        <v>149</v>
      </c>
      <c r="Q28" s="20">
        <v>0.04</v>
      </c>
      <c r="S28" t="s">
        <v>238</v>
      </c>
      <c r="T28" s="21">
        <v>-0.20109881709322219</v>
      </c>
      <c r="U28" t="s">
        <v>149</v>
      </c>
      <c r="V28">
        <v>1</v>
      </c>
    </row>
    <row r="29" spans="1:22" x14ac:dyDescent="0.25">
      <c r="A29">
        <v>9</v>
      </c>
      <c r="B29" t="s">
        <v>25</v>
      </c>
      <c r="C29" t="s">
        <v>65</v>
      </c>
      <c r="D29" t="s">
        <v>5</v>
      </c>
      <c r="E29">
        <v>150000</v>
      </c>
      <c r="F29">
        <v>100000</v>
      </c>
      <c r="G29" t="s">
        <v>22</v>
      </c>
      <c r="H29">
        <v>3.54</v>
      </c>
      <c r="I29">
        <v>30</v>
      </c>
      <c r="J29" t="s">
        <v>117</v>
      </c>
      <c r="K29">
        <v>30</v>
      </c>
      <c r="L29" s="20">
        <v>0.8</v>
      </c>
      <c r="M29" t="s">
        <v>115</v>
      </c>
      <c r="N29" t="s">
        <v>183</v>
      </c>
      <c r="O29" s="21">
        <v>-0.188</v>
      </c>
      <c r="P29" s="21" t="s">
        <v>149</v>
      </c>
      <c r="Q29" s="20">
        <v>1</v>
      </c>
      <c r="S29" t="s">
        <v>184</v>
      </c>
      <c r="T29" s="21">
        <v>-0.20109881709322219</v>
      </c>
      <c r="U29" t="s">
        <v>149</v>
      </c>
      <c r="V29">
        <v>1</v>
      </c>
    </row>
    <row r="30" spans="1:22" x14ac:dyDescent="0.25">
      <c r="A30">
        <v>9</v>
      </c>
      <c r="B30" t="s">
        <v>25</v>
      </c>
      <c r="C30" t="s">
        <v>65</v>
      </c>
      <c r="D30" t="s">
        <v>5</v>
      </c>
      <c r="E30">
        <v>150000</v>
      </c>
      <c r="F30">
        <v>100000</v>
      </c>
      <c r="G30" t="s">
        <v>22</v>
      </c>
      <c r="H30">
        <v>3.94</v>
      </c>
      <c r="I30">
        <v>30</v>
      </c>
      <c r="J30" t="s">
        <v>116</v>
      </c>
      <c r="K30">
        <v>30</v>
      </c>
      <c r="L30" s="20">
        <v>0.8</v>
      </c>
      <c r="M30" t="s">
        <v>115</v>
      </c>
      <c r="N30" t="s">
        <v>185</v>
      </c>
      <c r="O30" s="21">
        <v>-0.188</v>
      </c>
      <c r="P30" s="21" t="s">
        <v>149</v>
      </c>
      <c r="Q30" s="20">
        <v>1</v>
      </c>
      <c r="S30" t="s">
        <v>186</v>
      </c>
      <c r="T30" s="21">
        <v>-0.20109881709322219</v>
      </c>
      <c r="U30" t="s">
        <v>149</v>
      </c>
      <c r="V30">
        <v>1</v>
      </c>
    </row>
    <row r="31" spans="1:22" x14ac:dyDescent="0.25">
      <c r="A31">
        <v>15</v>
      </c>
      <c r="B31" t="s">
        <v>66</v>
      </c>
      <c r="C31" t="s">
        <v>62</v>
      </c>
      <c r="D31" s="19" t="s">
        <v>5</v>
      </c>
      <c r="E31" s="19">
        <v>150000</v>
      </c>
      <c r="F31" s="19">
        <v>100000</v>
      </c>
      <c r="G31" t="s">
        <v>22</v>
      </c>
      <c r="H31" s="19">
        <v>3.41</v>
      </c>
      <c r="I31">
        <v>30</v>
      </c>
      <c r="J31" t="s">
        <v>116</v>
      </c>
      <c r="K31" s="19">
        <v>15</v>
      </c>
      <c r="L31" s="20">
        <v>0.8</v>
      </c>
      <c r="M31" s="19" t="s">
        <v>41</v>
      </c>
      <c r="N31" t="s">
        <v>166</v>
      </c>
      <c r="O31" s="21">
        <v>-0.12</v>
      </c>
      <c r="P31" s="21" t="s">
        <v>149</v>
      </c>
      <c r="Q31" s="20">
        <v>1</v>
      </c>
      <c r="S31" t="s">
        <v>270</v>
      </c>
      <c r="T31" s="21">
        <v>0</v>
      </c>
      <c r="U31" t="s">
        <v>151</v>
      </c>
      <c r="V31">
        <v>0</v>
      </c>
    </row>
    <row r="32" spans="1:22" x14ac:dyDescent="0.25">
      <c r="A32">
        <v>15</v>
      </c>
      <c r="B32" t="s">
        <v>66</v>
      </c>
      <c r="C32" t="s">
        <v>62</v>
      </c>
      <c r="D32" s="19" t="s">
        <v>5</v>
      </c>
      <c r="E32" s="19">
        <v>150000</v>
      </c>
      <c r="F32" s="19">
        <v>100000</v>
      </c>
      <c r="G32" s="19" t="s">
        <v>127</v>
      </c>
      <c r="H32" s="19">
        <v>3.4</v>
      </c>
      <c r="I32">
        <v>30</v>
      </c>
      <c r="J32" t="s">
        <v>116</v>
      </c>
      <c r="K32" s="19">
        <v>15</v>
      </c>
      <c r="L32" s="20">
        <v>0.8</v>
      </c>
      <c r="M32" s="19" t="s">
        <v>41</v>
      </c>
      <c r="N32" t="s">
        <v>181</v>
      </c>
      <c r="O32" s="21">
        <v>-0.12</v>
      </c>
      <c r="P32" s="21" t="s">
        <v>149</v>
      </c>
      <c r="Q32" s="20">
        <v>6.6666666666666666E-2</v>
      </c>
      <c r="S32" t="s">
        <v>274</v>
      </c>
      <c r="T32" s="21">
        <v>0</v>
      </c>
      <c r="U32" t="s">
        <v>151</v>
      </c>
      <c r="V32">
        <v>0</v>
      </c>
    </row>
    <row r="33" spans="1:22" x14ac:dyDescent="0.25">
      <c r="A33">
        <v>15</v>
      </c>
      <c r="B33" t="s">
        <v>66</v>
      </c>
      <c r="C33" t="s">
        <v>62</v>
      </c>
      <c r="D33" s="19" t="s">
        <v>5</v>
      </c>
      <c r="E33" s="19">
        <v>150000</v>
      </c>
      <c r="F33" s="19">
        <v>100000</v>
      </c>
      <c r="G33" t="s">
        <v>22</v>
      </c>
      <c r="H33" s="19">
        <v>3.39</v>
      </c>
      <c r="I33">
        <v>30</v>
      </c>
      <c r="J33" t="s">
        <v>116</v>
      </c>
      <c r="K33" s="19">
        <v>25</v>
      </c>
      <c r="L33" s="20">
        <v>0.8</v>
      </c>
      <c r="M33" s="19" t="s">
        <v>115</v>
      </c>
      <c r="N33" t="s">
        <v>185</v>
      </c>
      <c r="O33" s="21">
        <v>-0.12</v>
      </c>
      <c r="P33" s="21" t="s">
        <v>149</v>
      </c>
      <c r="Q33" s="20">
        <v>1</v>
      </c>
      <c r="S33" t="s">
        <v>275</v>
      </c>
      <c r="T33" s="21">
        <v>0</v>
      </c>
      <c r="U33" t="s">
        <v>151</v>
      </c>
      <c r="V33">
        <v>0</v>
      </c>
    </row>
    <row r="34" spans="1:22" x14ac:dyDescent="0.25">
      <c r="A34">
        <v>15</v>
      </c>
      <c r="B34" t="s">
        <v>66</v>
      </c>
      <c r="C34" t="s">
        <v>62</v>
      </c>
      <c r="D34" s="19" t="s">
        <v>5</v>
      </c>
      <c r="E34" s="19">
        <v>150000</v>
      </c>
      <c r="F34" s="19">
        <v>100000</v>
      </c>
      <c r="G34" s="19" t="s">
        <v>127</v>
      </c>
      <c r="H34" s="19">
        <v>3.42</v>
      </c>
      <c r="I34">
        <v>30</v>
      </c>
      <c r="J34" t="s">
        <v>116</v>
      </c>
      <c r="K34" s="19">
        <v>25</v>
      </c>
      <c r="L34" s="20">
        <v>0.8</v>
      </c>
      <c r="M34" s="19" t="s">
        <v>115</v>
      </c>
      <c r="N34" t="s">
        <v>223</v>
      </c>
      <c r="O34" s="21">
        <v>-0.12</v>
      </c>
      <c r="P34" s="21" t="s">
        <v>149</v>
      </c>
      <c r="Q34" s="20">
        <v>0.04</v>
      </c>
      <c r="S34" t="s">
        <v>279</v>
      </c>
      <c r="T34" s="21">
        <v>0</v>
      </c>
      <c r="U34" t="s">
        <v>151</v>
      </c>
      <c r="V34">
        <v>0</v>
      </c>
    </row>
    <row r="35" spans="1:22" x14ac:dyDescent="0.25">
      <c r="A35">
        <v>15</v>
      </c>
      <c r="B35" t="s">
        <v>66</v>
      </c>
      <c r="C35" t="s">
        <v>62</v>
      </c>
      <c r="D35" s="19" t="s">
        <v>5</v>
      </c>
      <c r="E35" s="19">
        <v>150000</v>
      </c>
      <c r="F35" s="19">
        <v>100000</v>
      </c>
      <c r="G35" t="s">
        <v>22</v>
      </c>
      <c r="H35" s="19">
        <v>3.38</v>
      </c>
      <c r="I35">
        <v>30</v>
      </c>
      <c r="J35" t="s">
        <v>116</v>
      </c>
      <c r="K35" s="19">
        <v>30</v>
      </c>
      <c r="L35" s="20">
        <v>0.8</v>
      </c>
      <c r="M35" s="19" t="s">
        <v>115</v>
      </c>
      <c r="N35" t="s">
        <v>185</v>
      </c>
      <c r="O35" s="21">
        <v>-0.12</v>
      </c>
      <c r="P35" s="21" t="s">
        <v>149</v>
      </c>
      <c r="Q35" s="20">
        <v>1</v>
      </c>
      <c r="S35" t="s">
        <v>280</v>
      </c>
      <c r="T35" s="21">
        <v>0</v>
      </c>
      <c r="U35" t="s">
        <v>151</v>
      </c>
      <c r="V35">
        <v>0</v>
      </c>
    </row>
    <row r="36" spans="1:22" x14ac:dyDescent="0.25">
      <c r="A36">
        <v>15</v>
      </c>
      <c r="B36" t="s">
        <v>66</v>
      </c>
      <c r="C36" t="s">
        <v>62</v>
      </c>
      <c r="D36" s="19" t="s">
        <v>5</v>
      </c>
      <c r="E36" s="19">
        <v>150000</v>
      </c>
      <c r="F36" s="19">
        <v>100000</v>
      </c>
      <c r="G36" s="19" t="s">
        <v>127</v>
      </c>
      <c r="H36" s="19">
        <v>3.42</v>
      </c>
      <c r="I36">
        <v>30</v>
      </c>
      <c r="J36" t="s">
        <v>116</v>
      </c>
      <c r="K36" s="19">
        <v>30</v>
      </c>
      <c r="L36" s="20">
        <v>0.8</v>
      </c>
      <c r="M36" s="19" t="s">
        <v>115</v>
      </c>
      <c r="N36" t="s">
        <v>223</v>
      </c>
      <c r="O36" s="21">
        <v>-0.12</v>
      </c>
      <c r="P36" s="21" t="s">
        <v>149</v>
      </c>
      <c r="Q36" s="20">
        <v>3.3333333333333333E-2</v>
      </c>
      <c r="S36" t="s">
        <v>284</v>
      </c>
      <c r="T36" s="21">
        <v>0</v>
      </c>
      <c r="U36" t="s">
        <v>151</v>
      </c>
      <c r="V36">
        <v>0</v>
      </c>
    </row>
    <row r="37" spans="1:22" x14ac:dyDescent="0.25">
      <c r="A37">
        <v>6</v>
      </c>
      <c r="B37" t="s">
        <v>25</v>
      </c>
      <c r="C37" t="s">
        <v>11</v>
      </c>
      <c r="D37" t="s">
        <v>5</v>
      </c>
      <c r="E37">
        <v>150000</v>
      </c>
      <c r="F37">
        <v>100000</v>
      </c>
      <c r="G37" t="s">
        <v>22</v>
      </c>
      <c r="H37">
        <v>4.16</v>
      </c>
      <c r="I37">
        <v>30</v>
      </c>
      <c r="J37" t="s">
        <v>117</v>
      </c>
      <c r="K37">
        <v>15</v>
      </c>
      <c r="L37" s="20">
        <v>0.8</v>
      </c>
      <c r="M37" t="s">
        <v>41</v>
      </c>
      <c r="N37" t="s">
        <v>157</v>
      </c>
      <c r="O37" s="21">
        <v>-8.2000000000000003E-2</v>
      </c>
      <c r="P37" s="21" t="s">
        <v>149</v>
      </c>
      <c r="Q37" s="20">
        <v>1</v>
      </c>
      <c r="S37" t="s">
        <v>176</v>
      </c>
      <c r="T37" s="21">
        <v>-0.64493514955692066</v>
      </c>
      <c r="U37" t="s">
        <v>149</v>
      </c>
      <c r="V37">
        <v>1</v>
      </c>
    </row>
    <row r="38" spans="1:22" x14ac:dyDescent="0.25">
      <c r="A38">
        <v>6</v>
      </c>
      <c r="B38" t="s">
        <v>25</v>
      </c>
      <c r="C38" t="s">
        <v>11</v>
      </c>
      <c r="D38" t="s">
        <v>5</v>
      </c>
      <c r="E38">
        <v>150000</v>
      </c>
      <c r="F38">
        <v>100000</v>
      </c>
      <c r="G38" t="s">
        <v>22</v>
      </c>
      <c r="H38">
        <v>4.4400000000000004</v>
      </c>
      <c r="I38">
        <v>30</v>
      </c>
      <c r="J38" t="s">
        <v>116</v>
      </c>
      <c r="K38">
        <v>15</v>
      </c>
      <c r="L38" s="20">
        <v>0.8</v>
      </c>
      <c r="M38" t="s">
        <v>41</v>
      </c>
      <c r="N38" t="s">
        <v>166</v>
      </c>
      <c r="O38" s="21">
        <v>-8.2000000000000003E-2</v>
      </c>
      <c r="P38" s="21" t="s">
        <v>149</v>
      </c>
      <c r="Q38" s="20">
        <v>1</v>
      </c>
      <c r="S38" t="s">
        <v>179</v>
      </c>
      <c r="T38" s="21">
        <v>-0.64493514955692066</v>
      </c>
      <c r="U38" t="s">
        <v>149</v>
      </c>
      <c r="V38">
        <v>1</v>
      </c>
    </row>
    <row r="39" spans="1:22" x14ac:dyDescent="0.25">
      <c r="A39">
        <v>6</v>
      </c>
      <c r="B39" t="s">
        <v>25</v>
      </c>
      <c r="C39" t="s">
        <v>11</v>
      </c>
      <c r="D39" t="s">
        <v>5</v>
      </c>
      <c r="E39">
        <v>150000</v>
      </c>
      <c r="F39">
        <v>100000</v>
      </c>
      <c r="G39" s="22" t="s">
        <v>126</v>
      </c>
      <c r="H39">
        <v>3.42</v>
      </c>
      <c r="I39">
        <v>30</v>
      </c>
      <c r="J39" t="s">
        <v>117</v>
      </c>
      <c r="K39">
        <v>15</v>
      </c>
      <c r="L39" s="20">
        <v>0.8</v>
      </c>
      <c r="M39" t="s">
        <v>41</v>
      </c>
      <c r="N39" t="s">
        <v>159</v>
      </c>
      <c r="O39" s="21">
        <v>-8.2000000000000003E-2</v>
      </c>
      <c r="P39" s="21" t="s">
        <v>149</v>
      </c>
      <c r="Q39" s="20">
        <v>0.2</v>
      </c>
      <c r="S39" t="s">
        <v>187</v>
      </c>
      <c r="T39" s="21">
        <v>-0.64493514955692066</v>
      </c>
      <c r="U39" t="s">
        <v>149</v>
      </c>
      <c r="V39">
        <v>1</v>
      </c>
    </row>
    <row r="40" spans="1:22" x14ac:dyDescent="0.25">
      <c r="A40">
        <v>6</v>
      </c>
      <c r="B40" t="s">
        <v>25</v>
      </c>
      <c r="C40" t="s">
        <v>11</v>
      </c>
      <c r="D40" t="s">
        <v>5</v>
      </c>
      <c r="E40">
        <v>150000</v>
      </c>
      <c r="F40">
        <v>100000</v>
      </c>
      <c r="G40" s="22" t="s">
        <v>126</v>
      </c>
      <c r="H40">
        <v>4.29</v>
      </c>
      <c r="I40">
        <v>30</v>
      </c>
      <c r="J40" t="s">
        <v>116</v>
      </c>
      <c r="K40">
        <v>15</v>
      </c>
      <c r="L40" s="20">
        <v>0.8</v>
      </c>
      <c r="M40" t="s">
        <v>41</v>
      </c>
      <c r="N40" t="s">
        <v>161</v>
      </c>
      <c r="O40" s="21">
        <v>-8.2000000000000003E-2</v>
      </c>
      <c r="P40" s="21" t="s">
        <v>149</v>
      </c>
      <c r="Q40" s="20">
        <v>0.2</v>
      </c>
      <c r="S40" t="s">
        <v>188</v>
      </c>
      <c r="T40" s="21">
        <v>-0.64493514955692066</v>
      </c>
      <c r="U40" t="s">
        <v>149</v>
      </c>
      <c r="V40">
        <v>1</v>
      </c>
    </row>
    <row r="41" spans="1:22" x14ac:dyDescent="0.25">
      <c r="A41">
        <v>6</v>
      </c>
      <c r="B41" t="s">
        <v>25</v>
      </c>
      <c r="C41" t="s">
        <v>11</v>
      </c>
      <c r="D41" t="s">
        <v>5</v>
      </c>
      <c r="E41">
        <v>150000</v>
      </c>
      <c r="F41">
        <v>100000</v>
      </c>
      <c r="G41" s="19" t="s">
        <v>127</v>
      </c>
      <c r="H41">
        <v>4.4000000000000004</v>
      </c>
      <c r="I41">
        <v>30</v>
      </c>
      <c r="J41" t="s">
        <v>117</v>
      </c>
      <c r="K41">
        <v>15</v>
      </c>
      <c r="L41" s="20">
        <v>0.8</v>
      </c>
      <c r="M41" t="s">
        <v>41</v>
      </c>
      <c r="N41" t="s">
        <v>163</v>
      </c>
      <c r="O41" s="21">
        <v>-8.2000000000000003E-2</v>
      </c>
      <c r="P41" s="21" t="s">
        <v>149</v>
      </c>
      <c r="Q41" s="20">
        <v>6.6666666666666666E-2</v>
      </c>
      <c r="S41" t="s">
        <v>194</v>
      </c>
      <c r="T41" s="21">
        <v>-0.64493514955692066</v>
      </c>
      <c r="U41" t="s">
        <v>149</v>
      </c>
      <c r="V41">
        <v>1</v>
      </c>
    </row>
    <row r="42" spans="1:22" x14ac:dyDescent="0.25">
      <c r="A42">
        <v>6</v>
      </c>
      <c r="B42" t="s">
        <v>25</v>
      </c>
      <c r="C42" t="s">
        <v>11</v>
      </c>
      <c r="D42" t="s">
        <v>5</v>
      </c>
      <c r="E42">
        <v>150000</v>
      </c>
      <c r="F42">
        <v>100000</v>
      </c>
      <c r="G42" s="19" t="s">
        <v>127</v>
      </c>
      <c r="H42">
        <v>4.63</v>
      </c>
      <c r="I42">
        <v>30</v>
      </c>
      <c r="J42" t="s">
        <v>116</v>
      </c>
      <c r="K42">
        <v>15</v>
      </c>
      <c r="L42" s="20">
        <v>0.8</v>
      </c>
      <c r="M42" t="s">
        <v>41</v>
      </c>
      <c r="N42" t="s">
        <v>181</v>
      </c>
      <c r="O42" s="21">
        <v>-8.2000000000000003E-2</v>
      </c>
      <c r="P42" s="21" t="s">
        <v>149</v>
      </c>
      <c r="Q42" s="20">
        <v>6.6666666666666666E-2</v>
      </c>
      <c r="S42" t="s">
        <v>195</v>
      </c>
      <c r="T42" s="21">
        <v>-0.64493514955692066</v>
      </c>
      <c r="U42" t="s">
        <v>149</v>
      </c>
      <c r="V42">
        <v>1</v>
      </c>
    </row>
    <row r="43" spans="1:22" x14ac:dyDescent="0.25">
      <c r="A43">
        <v>6</v>
      </c>
      <c r="B43" t="s">
        <v>25</v>
      </c>
      <c r="C43" t="s">
        <v>11</v>
      </c>
      <c r="D43" t="s">
        <v>5</v>
      </c>
      <c r="E43">
        <v>150000</v>
      </c>
      <c r="F43">
        <v>100000</v>
      </c>
      <c r="G43" t="s">
        <v>22</v>
      </c>
      <c r="H43">
        <v>4.03</v>
      </c>
      <c r="I43">
        <v>30</v>
      </c>
      <c r="J43" t="s">
        <v>117</v>
      </c>
      <c r="K43">
        <v>25</v>
      </c>
      <c r="L43" s="20">
        <v>0.8</v>
      </c>
      <c r="M43" t="s">
        <v>115</v>
      </c>
      <c r="N43" t="s">
        <v>183</v>
      </c>
      <c r="O43" s="21">
        <v>-8.2000000000000003E-2</v>
      </c>
      <c r="P43" s="21" t="s">
        <v>149</v>
      </c>
      <c r="Q43" s="20">
        <v>1</v>
      </c>
      <c r="S43" t="s">
        <v>212</v>
      </c>
      <c r="T43" s="21">
        <v>-0.64493514955692066</v>
      </c>
      <c r="U43" t="s">
        <v>149</v>
      </c>
      <c r="V43">
        <v>1</v>
      </c>
    </row>
    <row r="44" spans="1:22" x14ac:dyDescent="0.25">
      <c r="A44">
        <v>6</v>
      </c>
      <c r="B44" t="s">
        <v>25</v>
      </c>
      <c r="C44" t="s">
        <v>11</v>
      </c>
      <c r="D44" t="s">
        <v>5</v>
      </c>
      <c r="E44">
        <v>150000</v>
      </c>
      <c r="F44">
        <v>100000</v>
      </c>
      <c r="G44" t="s">
        <v>22</v>
      </c>
      <c r="H44">
        <v>4.3600000000000003</v>
      </c>
      <c r="I44">
        <v>30</v>
      </c>
      <c r="J44" t="s">
        <v>116</v>
      </c>
      <c r="K44">
        <v>25</v>
      </c>
      <c r="L44" s="20">
        <v>0.8</v>
      </c>
      <c r="M44" t="s">
        <v>115</v>
      </c>
      <c r="N44" t="s">
        <v>185</v>
      </c>
      <c r="O44" s="21">
        <v>-8.2000000000000003E-2</v>
      </c>
      <c r="P44" s="21" t="s">
        <v>149</v>
      </c>
      <c r="Q44" s="20">
        <v>1</v>
      </c>
      <c r="S44" t="s">
        <v>214</v>
      </c>
      <c r="T44" s="21">
        <v>-0.64493514955692066</v>
      </c>
      <c r="U44" t="s">
        <v>149</v>
      </c>
      <c r="V44">
        <v>1</v>
      </c>
    </row>
    <row r="45" spans="1:22" x14ac:dyDescent="0.25">
      <c r="A45">
        <v>6</v>
      </c>
      <c r="B45" t="s">
        <v>25</v>
      </c>
      <c r="C45" t="s">
        <v>11</v>
      </c>
      <c r="D45" t="s">
        <v>5</v>
      </c>
      <c r="E45">
        <v>150000</v>
      </c>
      <c r="F45">
        <v>100000</v>
      </c>
      <c r="G45" t="s">
        <v>22</v>
      </c>
      <c r="H45">
        <v>3.98</v>
      </c>
      <c r="I45">
        <v>30</v>
      </c>
      <c r="J45" t="s">
        <v>117</v>
      </c>
      <c r="K45">
        <v>30</v>
      </c>
      <c r="L45" s="20">
        <v>0.8</v>
      </c>
      <c r="M45" t="s">
        <v>115</v>
      </c>
      <c r="N45" t="s">
        <v>183</v>
      </c>
      <c r="O45" s="21">
        <v>-8.2000000000000003E-2</v>
      </c>
      <c r="P45" s="21" t="s">
        <v>149</v>
      </c>
      <c r="Q45" s="20">
        <v>1</v>
      </c>
      <c r="S45" t="s">
        <v>240</v>
      </c>
      <c r="T45" s="21">
        <v>-0.64493514955692066</v>
      </c>
      <c r="U45" t="s">
        <v>149</v>
      </c>
      <c r="V45">
        <v>1</v>
      </c>
    </row>
    <row r="46" spans="1:22" x14ac:dyDescent="0.25">
      <c r="A46">
        <v>6</v>
      </c>
      <c r="B46" t="s">
        <v>25</v>
      </c>
      <c r="C46" t="s">
        <v>11</v>
      </c>
      <c r="D46" t="s">
        <v>5</v>
      </c>
      <c r="E46">
        <v>150000</v>
      </c>
      <c r="F46">
        <v>100000</v>
      </c>
      <c r="G46" t="s">
        <v>22</v>
      </c>
      <c r="H46">
        <v>4.33</v>
      </c>
      <c r="I46">
        <v>30</v>
      </c>
      <c r="J46" t="s">
        <v>116</v>
      </c>
      <c r="K46">
        <v>30</v>
      </c>
      <c r="L46" s="20">
        <v>0.8</v>
      </c>
      <c r="M46" t="s">
        <v>115</v>
      </c>
      <c r="N46" t="s">
        <v>185</v>
      </c>
      <c r="O46" s="21">
        <v>-8.2000000000000003E-2</v>
      </c>
      <c r="P46" s="21" t="s">
        <v>149</v>
      </c>
      <c r="Q46" s="20">
        <v>1</v>
      </c>
      <c r="S46" t="s">
        <v>243</v>
      </c>
      <c r="T46" s="21">
        <v>-0.64493514955692066</v>
      </c>
      <c r="U46" t="s">
        <v>149</v>
      </c>
      <c r="V46">
        <v>1</v>
      </c>
    </row>
    <row r="47" spans="1:22" x14ac:dyDescent="0.25">
      <c r="A47">
        <v>10</v>
      </c>
      <c r="B47" t="s">
        <v>25</v>
      </c>
      <c r="C47" s="8" t="s">
        <v>89</v>
      </c>
      <c r="D47" s="19" t="s">
        <v>5</v>
      </c>
      <c r="E47" s="19">
        <v>150000</v>
      </c>
      <c r="F47" s="19">
        <v>100000</v>
      </c>
      <c r="G47" t="s">
        <v>22</v>
      </c>
      <c r="H47" s="19">
        <v>4.0999999999999996</v>
      </c>
      <c r="I47">
        <v>30</v>
      </c>
      <c r="J47" t="s">
        <v>117</v>
      </c>
      <c r="K47" s="19">
        <v>15</v>
      </c>
      <c r="L47" s="20">
        <v>0.8</v>
      </c>
      <c r="M47" s="19" t="s">
        <v>41</v>
      </c>
      <c r="N47" t="s">
        <v>157</v>
      </c>
      <c r="O47" s="21">
        <v>-8.1000000000000003E-2</v>
      </c>
      <c r="P47" s="21" t="s">
        <v>149</v>
      </c>
      <c r="Q47" s="20">
        <v>1</v>
      </c>
      <c r="S47" t="s">
        <v>175</v>
      </c>
      <c r="T47" s="21">
        <v>-0.55115741384620298</v>
      </c>
      <c r="U47" t="s">
        <v>149</v>
      </c>
      <c r="V47">
        <v>1</v>
      </c>
    </row>
    <row r="48" spans="1:22" x14ac:dyDescent="0.25">
      <c r="A48">
        <v>10</v>
      </c>
      <c r="B48" t="s">
        <v>25</v>
      </c>
      <c r="C48" t="s">
        <v>89</v>
      </c>
      <c r="D48" s="19" t="s">
        <v>5</v>
      </c>
      <c r="E48" s="19">
        <v>150000</v>
      </c>
      <c r="F48" s="19">
        <v>100000</v>
      </c>
      <c r="G48" s="19" t="s">
        <v>127</v>
      </c>
      <c r="H48">
        <v>5.3410000000000002</v>
      </c>
      <c r="I48">
        <v>30</v>
      </c>
      <c r="J48" t="s">
        <v>116</v>
      </c>
      <c r="K48" s="19">
        <v>15</v>
      </c>
      <c r="L48" s="20">
        <v>0.8</v>
      </c>
      <c r="M48" s="19" t="s">
        <v>41</v>
      </c>
      <c r="N48" t="s">
        <v>181</v>
      </c>
      <c r="O48" s="21">
        <v>-8.1000000000000003E-2</v>
      </c>
      <c r="P48" s="21" t="s">
        <v>149</v>
      </c>
      <c r="Q48" s="20">
        <v>3.3333333333333333E-2</v>
      </c>
      <c r="S48" t="s">
        <v>200</v>
      </c>
      <c r="T48" s="21">
        <v>-0.55115741384620298</v>
      </c>
      <c r="U48" t="s">
        <v>149</v>
      </c>
      <c r="V48">
        <v>1</v>
      </c>
    </row>
    <row r="49" spans="1:22" x14ac:dyDescent="0.25">
      <c r="A49">
        <v>10</v>
      </c>
      <c r="B49" t="s">
        <v>25</v>
      </c>
      <c r="C49" t="s">
        <v>89</v>
      </c>
      <c r="D49" s="19" t="s">
        <v>5</v>
      </c>
      <c r="E49" s="19">
        <v>150000</v>
      </c>
      <c r="F49" s="19">
        <v>100000</v>
      </c>
      <c r="G49" s="19" t="s">
        <v>127</v>
      </c>
      <c r="H49">
        <v>5.3810000000000002</v>
      </c>
      <c r="I49">
        <v>30</v>
      </c>
      <c r="J49" t="s">
        <v>117</v>
      </c>
      <c r="K49" s="19">
        <v>15</v>
      </c>
      <c r="L49" s="20">
        <v>0.8</v>
      </c>
      <c r="M49" s="19" t="s">
        <v>41</v>
      </c>
      <c r="N49" t="s">
        <v>163</v>
      </c>
      <c r="O49" s="21">
        <v>-8.1000000000000003E-2</v>
      </c>
      <c r="P49" s="21" t="s">
        <v>149</v>
      </c>
      <c r="Q49" s="20">
        <v>3.3333333333333333E-2</v>
      </c>
      <c r="S49" t="s">
        <v>201</v>
      </c>
      <c r="T49" s="21">
        <v>-0.55115741384620298</v>
      </c>
      <c r="U49" t="s">
        <v>149</v>
      </c>
      <c r="V49">
        <v>1</v>
      </c>
    </row>
    <row r="50" spans="1:22" x14ac:dyDescent="0.25">
      <c r="A50">
        <v>10</v>
      </c>
      <c r="B50" t="s">
        <v>25</v>
      </c>
      <c r="C50" t="s">
        <v>89</v>
      </c>
      <c r="D50" s="19" t="s">
        <v>5</v>
      </c>
      <c r="E50" s="19">
        <v>150000</v>
      </c>
      <c r="F50" s="19">
        <v>100000</v>
      </c>
      <c r="G50" t="s">
        <v>22</v>
      </c>
      <c r="H50" s="19">
        <v>5.2460000000000004</v>
      </c>
      <c r="I50">
        <v>30</v>
      </c>
      <c r="J50" t="s">
        <v>116</v>
      </c>
      <c r="K50" s="19">
        <v>15</v>
      </c>
      <c r="L50" s="20">
        <v>0.8</v>
      </c>
      <c r="M50" s="19" t="s">
        <v>41</v>
      </c>
      <c r="N50" t="s">
        <v>166</v>
      </c>
      <c r="O50" s="21">
        <v>-8.1000000000000003E-2</v>
      </c>
      <c r="P50" s="21" t="s">
        <v>149</v>
      </c>
      <c r="Q50" s="20">
        <v>1</v>
      </c>
      <c r="S50" t="s">
        <v>206</v>
      </c>
      <c r="T50" s="21">
        <v>-0.55115741384620298</v>
      </c>
      <c r="U50" t="s">
        <v>149</v>
      </c>
      <c r="V50">
        <v>1</v>
      </c>
    </row>
    <row r="51" spans="1:22" x14ac:dyDescent="0.25">
      <c r="A51">
        <v>10</v>
      </c>
      <c r="B51" t="s">
        <v>25</v>
      </c>
      <c r="C51" t="s">
        <v>89</v>
      </c>
      <c r="D51" s="19" t="s">
        <v>5</v>
      </c>
      <c r="E51" s="19">
        <v>150000</v>
      </c>
      <c r="F51" s="19">
        <v>100000</v>
      </c>
      <c r="G51" t="s">
        <v>22</v>
      </c>
      <c r="H51" s="19">
        <v>3.9980000000000002</v>
      </c>
      <c r="I51">
        <v>30</v>
      </c>
      <c r="J51" t="s">
        <v>117</v>
      </c>
      <c r="K51" s="19">
        <v>25</v>
      </c>
      <c r="L51" s="20">
        <v>0.8</v>
      </c>
      <c r="M51" s="19" t="s">
        <v>115</v>
      </c>
      <c r="N51" t="s">
        <v>183</v>
      </c>
      <c r="O51" s="21">
        <v>-8.1000000000000003E-2</v>
      </c>
      <c r="P51" s="21" t="s">
        <v>149</v>
      </c>
      <c r="Q51" s="20">
        <v>1</v>
      </c>
      <c r="S51" t="s">
        <v>211</v>
      </c>
      <c r="T51" s="21">
        <v>-0.55115741384620298</v>
      </c>
      <c r="U51" t="s">
        <v>149</v>
      </c>
      <c r="V51">
        <v>1</v>
      </c>
    </row>
    <row r="52" spans="1:22" x14ac:dyDescent="0.25">
      <c r="A52">
        <v>10</v>
      </c>
      <c r="B52" t="s">
        <v>25</v>
      </c>
      <c r="C52" t="s">
        <v>89</v>
      </c>
      <c r="D52" s="19" t="s">
        <v>5</v>
      </c>
      <c r="E52" s="19">
        <v>150000</v>
      </c>
      <c r="F52" s="19">
        <v>100000</v>
      </c>
      <c r="G52" s="19" t="s">
        <v>127</v>
      </c>
      <c r="H52" s="19">
        <v>5.2679999999999998</v>
      </c>
      <c r="I52">
        <v>30</v>
      </c>
      <c r="J52" t="s">
        <v>117</v>
      </c>
      <c r="K52" s="19">
        <v>25</v>
      </c>
      <c r="L52" s="20">
        <v>0.8</v>
      </c>
      <c r="M52" s="19" t="s">
        <v>115</v>
      </c>
      <c r="N52" t="s">
        <v>221</v>
      </c>
      <c r="O52" s="21">
        <v>-8.1000000000000003E-2</v>
      </c>
      <c r="P52" s="21" t="s">
        <v>149</v>
      </c>
      <c r="Q52" s="20">
        <v>0.02</v>
      </c>
      <c r="S52" t="s">
        <v>229</v>
      </c>
      <c r="T52" s="21">
        <v>-0.55115741384620298</v>
      </c>
      <c r="U52" t="s">
        <v>149</v>
      </c>
      <c r="V52">
        <v>1</v>
      </c>
    </row>
    <row r="53" spans="1:22" x14ac:dyDescent="0.25">
      <c r="A53">
        <v>10</v>
      </c>
      <c r="B53" t="s">
        <v>25</v>
      </c>
      <c r="C53" t="s">
        <v>89</v>
      </c>
      <c r="D53" s="19" t="s">
        <v>5</v>
      </c>
      <c r="E53" s="19">
        <v>150000</v>
      </c>
      <c r="F53" s="19">
        <v>100000</v>
      </c>
      <c r="G53" s="19" t="s">
        <v>127</v>
      </c>
      <c r="H53" s="19">
        <v>5.2759999999999998</v>
      </c>
      <c r="I53">
        <v>30</v>
      </c>
      <c r="J53" t="s">
        <v>116</v>
      </c>
      <c r="K53" s="19">
        <v>25</v>
      </c>
      <c r="L53" s="20">
        <v>0.8</v>
      </c>
      <c r="M53" s="19" t="s">
        <v>115</v>
      </c>
      <c r="N53" t="s">
        <v>223</v>
      </c>
      <c r="O53" s="21">
        <v>-8.1000000000000003E-2</v>
      </c>
      <c r="P53" s="21" t="s">
        <v>149</v>
      </c>
      <c r="Q53" s="20">
        <v>0.02</v>
      </c>
      <c r="S53" t="s">
        <v>230</v>
      </c>
      <c r="T53" s="21">
        <v>-0.55115741384620298</v>
      </c>
      <c r="U53" t="s">
        <v>149</v>
      </c>
      <c r="V53">
        <v>1</v>
      </c>
    </row>
    <row r="54" spans="1:22" x14ac:dyDescent="0.25">
      <c r="A54">
        <v>10</v>
      </c>
      <c r="B54" t="s">
        <v>25</v>
      </c>
      <c r="C54" t="s">
        <v>89</v>
      </c>
      <c r="D54" s="19" t="s">
        <v>5</v>
      </c>
      <c r="E54" s="19">
        <v>150000</v>
      </c>
      <c r="F54" s="19">
        <v>100000</v>
      </c>
      <c r="G54" t="s">
        <v>22</v>
      </c>
      <c r="H54" s="19">
        <v>5.2140000000000004</v>
      </c>
      <c r="I54">
        <v>30</v>
      </c>
      <c r="J54" t="s">
        <v>116</v>
      </c>
      <c r="K54" s="19">
        <v>25</v>
      </c>
      <c r="L54" s="20">
        <v>0.8</v>
      </c>
      <c r="M54" s="19" t="s">
        <v>115</v>
      </c>
      <c r="N54" t="s">
        <v>185</v>
      </c>
      <c r="O54" s="21">
        <v>-8.1000000000000003E-2</v>
      </c>
      <c r="P54" s="21" t="s">
        <v>149</v>
      </c>
      <c r="Q54" s="20">
        <v>1</v>
      </c>
      <c r="S54" t="s">
        <v>232</v>
      </c>
      <c r="T54" s="21">
        <v>-0.55115741384620298</v>
      </c>
      <c r="U54" t="s">
        <v>149</v>
      </c>
      <c r="V54">
        <v>1</v>
      </c>
    </row>
    <row r="55" spans="1:22" x14ac:dyDescent="0.25">
      <c r="A55">
        <v>10</v>
      </c>
      <c r="B55" t="s">
        <v>25</v>
      </c>
      <c r="C55" t="s">
        <v>89</v>
      </c>
      <c r="D55" s="19" t="s">
        <v>5</v>
      </c>
      <c r="E55" s="19">
        <v>150000</v>
      </c>
      <c r="F55" s="19">
        <v>100000</v>
      </c>
      <c r="G55" t="s">
        <v>22</v>
      </c>
      <c r="H55">
        <v>3.9630000000000001</v>
      </c>
      <c r="I55">
        <v>30</v>
      </c>
      <c r="J55" t="s">
        <v>117</v>
      </c>
      <c r="K55" s="19">
        <v>30</v>
      </c>
      <c r="L55" s="20">
        <v>0.8</v>
      </c>
      <c r="M55" s="19" t="s">
        <v>115</v>
      </c>
      <c r="N55" t="s">
        <v>183</v>
      </c>
      <c r="O55" s="21">
        <v>-8.1000000000000003E-2</v>
      </c>
      <c r="P55" s="21" t="s">
        <v>149</v>
      </c>
      <c r="Q55" s="20">
        <v>1</v>
      </c>
      <c r="S55" t="s">
        <v>239</v>
      </c>
      <c r="T55" s="21">
        <v>-0.55115741384620298</v>
      </c>
      <c r="U55" t="s">
        <v>149</v>
      </c>
      <c r="V55">
        <v>1</v>
      </c>
    </row>
    <row r="56" spans="1:22" x14ac:dyDescent="0.25">
      <c r="A56">
        <v>10</v>
      </c>
      <c r="B56" t="s">
        <v>25</v>
      </c>
      <c r="C56" t="s">
        <v>89</v>
      </c>
      <c r="D56" s="19" t="s">
        <v>5</v>
      </c>
      <c r="E56" s="19">
        <v>150000</v>
      </c>
      <c r="F56" s="19">
        <v>100000</v>
      </c>
      <c r="G56" s="19" t="s">
        <v>127</v>
      </c>
      <c r="H56">
        <v>5.2309999999999999</v>
      </c>
      <c r="I56">
        <v>30</v>
      </c>
      <c r="J56" t="s">
        <v>117</v>
      </c>
      <c r="K56" s="19">
        <v>30</v>
      </c>
      <c r="L56" s="20">
        <v>0.8</v>
      </c>
      <c r="M56" s="19" t="s">
        <v>115</v>
      </c>
      <c r="N56" t="s">
        <v>221</v>
      </c>
      <c r="O56" s="21">
        <v>-8.1000000000000003E-2</v>
      </c>
      <c r="P56" s="21" t="s">
        <v>149</v>
      </c>
      <c r="Q56" s="20">
        <v>1.6666666666666666E-2</v>
      </c>
      <c r="S56" t="s">
        <v>249</v>
      </c>
      <c r="T56" s="21">
        <v>-0.55115741384620298</v>
      </c>
      <c r="U56" t="s">
        <v>149</v>
      </c>
      <c r="V56">
        <v>1</v>
      </c>
    </row>
    <row r="57" spans="1:22" x14ac:dyDescent="0.25">
      <c r="A57">
        <v>10</v>
      </c>
      <c r="B57" t="s">
        <v>25</v>
      </c>
      <c r="C57" t="s">
        <v>89</v>
      </c>
      <c r="D57" s="19" t="s">
        <v>5</v>
      </c>
      <c r="E57" s="19">
        <v>150000</v>
      </c>
      <c r="F57" s="19">
        <v>100000</v>
      </c>
      <c r="G57" s="19" t="s">
        <v>127</v>
      </c>
      <c r="H57">
        <v>5.2560000000000002</v>
      </c>
      <c r="I57">
        <v>30</v>
      </c>
      <c r="J57" t="s">
        <v>116</v>
      </c>
      <c r="K57" s="19">
        <v>30</v>
      </c>
      <c r="L57" s="20">
        <v>0.8</v>
      </c>
      <c r="M57" s="19" t="s">
        <v>115</v>
      </c>
      <c r="N57" t="s">
        <v>223</v>
      </c>
      <c r="O57" s="21">
        <v>-8.1000000000000003E-2</v>
      </c>
      <c r="P57" s="21" t="s">
        <v>149</v>
      </c>
      <c r="Q57" s="20">
        <v>1.6666666666666666E-2</v>
      </c>
      <c r="S57" t="s">
        <v>250</v>
      </c>
      <c r="T57" s="21">
        <v>-0.55115741384620298</v>
      </c>
      <c r="U57" t="s">
        <v>149</v>
      </c>
      <c r="V57">
        <v>1</v>
      </c>
    </row>
    <row r="58" spans="1:22" x14ac:dyDescent="0.25">
      <c r="A58">
        <v>10</v>
      </c>
      <c r="B58" t="s">
        <v>25</v>
      </c>
      <c r="C58" t="s">
        <v>89</v>
      </c>
      <c r="D58" s="19" t="s">
        <v>5</v>
      </c>
      <c r="E58" s="19">
        <v>150000</v>
      </c>
      <c r="F58" s="19">
        <v>100000</v>
      </c>
      <c r="G58" t="s">
        <v>22</v>
      </c>
      <c r="H58" s="19">
        <v>5.2009999999999996</v>
      </c>
      <c r="I58">
        <v>30</v>
      </c>
      <c r="J58" t="s">
        <v>116</v>
      </c>
      <c r="K58" s="19">
        <v>30</v>
      </c>
      <c r="L58" s="20">
        <v>0.8</v>
      </c>
      <c r="M58" s="19" t="s">
        <v>115</v>
      </c>
      <c r="N58" t="s">
        <v>185</v>
      </c>
      <c r="O58" s="21">
        <v>-8.1000000000000003E-2</v>
      </c>
      <c r="P58" s="21" t="s">
        <v>149</v>
      </c>
      <c r="Q58" s="20">
        <v>1</v>
      </c>
      <c r="S58" t="s">
        <v>255</v>
      </c>
      <c r="T58" s="21">
        <v>-0.55115741384620298</v>
      </c>
      <c r="U58" t="s">
        <v>149</v>
      </c>
      <c r="V58">
        <v>1</v>
      </c>
    </row>
    <row r="59" spans="1:22" x14ac:dyDescent="0.25">
      <c r="A59">
        <v>8</v>
      </c>
      <c r="B59" t="s">
        <v>25</v>
      </c>
      <c r="C59" t="s">
        <v>58</v>
      </c>
      <c r="D59" t="s">
        <v>5</v>
      </c>
      <c r="E59">
        <v>150000</v>
      </c>
      <c r="F59">
        <v>100000</v>
      </c>
      <c r="G59" t="s">
        <v>22</v>
      </c>
      <c r="H59">
        <v>4.2300000000000004</v>
      </c>
      <c r="I59">
        <v>30</v>
      </c>
      <c r="J59" t="s">
        <v>117</v>
      </c>
      <c r="K59">
        <v>15</v>
      </c>
      <c r="L59" s="20">
        <v>0.8</v>
      </c>
      <c r="M59" t="s">
        <v>41</v>
      </c>
      <c r="N59" t="s">
        <v>157</v>
      </c>
      <c r="O59" s="21">
        <v>-6.2E-2</v>
      </c>
      <c r="P59" s="21" t="s">
        <v>149</v>
      </c>
      <c r="Q59" s="20">
        <v>1</v>
      </c>
      <c r="S59" t="s">
        <v>177</v>
      </c>
      <c r="T59" s="21">
        <v>-0.36004225807655937</v>
      </c>
      <c r="U59" t="s">
        <v>149</v>
      </c>
      <c r="V59">
        <v>1</v>
      </c>
    </row>
    <row r="60" spans="1:22" x14ac:dyDescent="0.25">
      <c r="A60">
        <v>8</v>
      </c>
      <c r="B60" t="s">
        <v>25</v>
      </c>
      <c r="C60" t="s">
        <v>58</v>
      </c>
      <c r="D60" t="s">
        <v>5</v>
      </c>
      <c r="E60">
        <v>150000</v>
      </c>
      <c r="F60">
        <v>100000</v>
      </c>
      <c r="G60" t="s">
        <v>22</v>
      </c>
      <c r="H60">
        <v>4.53</v>
      </c>
      <c r="I60">
        <v>30</v>
      </c>
      <c r="J60" t="s">
        <v>116</v>
      </c>
      <c r="K60">
        <v>15</v>
      </c>
      <c r="L60" s="20">
        <v>0.8</v>
      </c>
      <c r="M60" t="s">
        <v>41</v>
      </c>
      <c r="N60" t="s">
        <v>166</v>
      </c>
      <c r="O60" s="21">
        <v>-6.2E-2</v>
      </c>
      <c r="P60" s="21" t="s">
        <v>149</v>
      </c>
      <c r="Q60" s="20">
        <v>1</v>
      </c>
      <c r="S60" t="s">
        <v>180</v>
      </c>
      <c r="T60" s="21">
        <v>-0.36004225807655937</v>
      </c>
      <c r="U60" t="s">
        <v>149</v>
      </c>
      <c r="V60">
        <v>1</v>
      </c>
    </row>
    <row r="61" spans="1:22" s="19" customFormat="1" x14ac:dyDescent="0.25">
      <c r="A61">
        <v>8</v>
      </c>
      <c r="B61" t="s">
        <v>25</v>
      </c>
      <c r="C61" t="s">
        <v>58</v>
      </c>
      <c r="D61" t="s">
        <v>5</v>
      </c>
      <c r="E61">
        <v>150000</v>
      </c>
      <c r="F61">
        <v>100000</v>
      </c>
      <c r="G61" t="s">
        <v>22</v>
      </c>
      <c r="H61">
        <v>3.91</v>
      </c>
      <c r="I61">
        <v>30</v>
      </c>
      <c r="J61" t="s">
        <v>117</v>
      </c>
      <c r="K61">
        <v>25</v>
      </c>
      <c r="L61" s="20">
        <v>0.8</v>
      </c>
      <c r="M61" t="s">
        <v>115</v>
      </c>
      <c r="N61" t="s">
        <v>183</v>
      </c>
      <c r="O61" s="21">
        <v>-6.2E-2</v>
      </c>
      <c r="P61" s="21" t="s">
        <v>149</v>
      </c>
      <c r="Q61" s="20">
        <v>1</v>
      </c>
      <c r="R61"/>
      <c r="S61" t="s">
        <v>209</v>
      </c>
      <c r="T61" s="21">
        <v>-0.36004225807655937</v>
      </c>
      <c r="U61" t="s">
        <v>149</v>
      </c>
      <c r="V61">
        <v>1</v>
      </c>
    </row>
    <row r="62" spans="1:22" s="19" customFormat="1" x14ac:dyDescent="0.25">
      <c r="A62">
        <v>8</v>
      </c>
      <c r="B62" t="s">
        <v>25</v>
      </c>
      <c r="C62" t="s">
        <v>58</v>
      </c>
      <c r="D62" t="s">
        <v>5</v>
      </c>
      <c r="E62">
        <v>150000</v>
      </c>
      <c r="F62">
        <v>100000</v>
      </c>
      <c r="G62" t="s">
        <v>22</v>
      </c>
      <c r="H62">
        <v>4.43</v>
      </c>
      <c r="I62">
        <v>30</v>
      </c>
      <c r="J62" t="s">
        <v>116</v>
      </c>
      <c r="K62">
        <v>25</v>
      </c>
      <c r="L62" s="20">
        <v>0.8</v>
      </c>
      <c r="M62" t="s">
        <v>115</v>
      </c>
      <c r="N62" t="s">
        <v>185</v>
      </c>
      <c r="O62" s="21">
        <v>-6.2E-2</v>
      </c>
      <c r="P62" s="21" t="s">
        <v>149</v>
      </c>
      <c r="Q62" s="20">
        <v>1</v>
      </c>
      <c r="R62"/>
      <c r="S62" t="s">
        <v>216</v>
      </c>
      <c r="T62" s="21">
        <v>-0.36004225807655937</v>
      </c>
      <c r="U62" t="s">
        <v>149</v>
      </c>
      <c r="V62">
        <v>1</v>
      </c>
    </row>
    <row r="63" spans="1:22" s="19" customFormat="1" x14ac:dyDescent="0.25">
      <c r="A63">
        <v>8</v>
      </c>
      <c r="B63" t="s">
        <v>25</v>
      </c>
      <c r="C63" t="s">
        <v>58</v>
      </c>
      <c r="D63" t="s">
        <v>5</v>
      </c>
      <c r="E63">
        <v>150000</v>
      </c>
      <c r="F63">
        <v>100000</v>
      </c>
      <c r="G63" s="22" t="s">
        <v>126</v>
      </c>
      <c r="H63">
        <v>4.45</v>
      </c>
      <c r="I63">
        <v>30</v>
      </c>
      <c r="J63" t="s">
        <v>116</v>
      </c>
      <c r="K63">
        <v>25</v>
      </c>
      <c r="L63" s="20">
        <v>0.8</v>
      </c>
      <c r="M63" t="s">
        <v>115</v>
      </c>
      <c r="N63" t="s">
        <v>204</v>
      </c>
      <c r="O63" s="21">
        <v>-6.2E-2</v>
      </c>
      <c r="P63" s="21" t="s">
        <v>149</v>
      </c>
      <c r="Q63" s="20">
        <v>0.2</v>
      </c>
      <c r="R63"/>
      <c r="S63" t="s">
        <v>217</v>
      </c>
      <c r="T63" s="21">
        <v>-0.36004225807655937</v>
      </c>
      <c r="U63" t="s">
        <v>149</v>
      </c>
      <c r="V63">
        <v>1</v>
      </c>
    </row>
    <row r="64" spans="1:22" s="19" customFormat="1" x14ac:dyDescent="0.25">
      <c r="A64">
        <v>8</v>
      </c>
      <c r="B64" t="s">
        <v>25</v>
      </c>
      <c r="C64" t="s">
        <v>58</v>
      </c>
      <c r="D64" t="s">
        <v>5</v>
      </c>
      <c r="E64">
        <v>150000</v>
      </c>
      <c r="F64">
        <v>100000</v>
      </c>
      <c r="G64" s="22" t="s">
        <v>126</v>
      </c>
      <c r="H64">
        <v>4.68</v>
      </c>
      <c r="I64">
        <v>30</v>
      </c>
      <c r="J64" t="s">
        <v>117</v>
      </c>
      <c r="K64">
        <v>25</v>
      </c>
      <c r="L64" s="20">
        <v>0.8</v>
      </c>
      <c r="M64" t="s">
        <v>115</v>
      </c>
      <c r="N64" t="s">
        <v>198</v>
      </c>
      <c r="O64" s="21">
        <v>-6.2E-2</v>
      </c>
      <c r="P64" s="21" t="s">
        <v>149</v>
      </c>
      <c r="Q64" s="20">
        <v>0.2</v>
      </c>
      <c r="R64"/>
      <c r="S64" t="s">
        <v>218</v>
      </c>
      <c r="T64" s="21">
        <v>-0.36004225807655937</v>
      </c>
      <c r="U64" t="s">
        <v>149</v>
      </c>
      <c r="V64">
        <v>1</v>
      </c>
    </row>
    <row r="65" spans="1:22" s="19" customFormat="1" x14ac:dyDescent="0.25">
      <c r="A65">
        <v>8</v>
      </c>
      <c r="B65" t="s">
        <v>25</v>
      </c>
      <c r="C65" t="s">
        <v>58</v>
      </c>
      <c r="D65" t="s">
        <v>5</v>
      </c>
      <c r="E65">
        <v>150000</v>
      </c>
      <c r="F65">
        <v>100000</v>
      </c>
      <c r="G65" t="s">
        <v>22</v>
      </c>
      <c r="H65">
        <v>3.86</v>
      </c>
      <c r="I65">
        <v>30</v>
      </c>
      <c r="J65" t="s">
        <v>117</v>
      </c>
      <c r="K65">
        <v>30</v>
      </c>
      <c r="L65" s="20">
        <v>0.8</v>
      </c>
      <c r="M65" t="s">
        <v>115</v>
      </c>
      <c r="N65" t="s">
        <v>183</v>
      </c>
      <c r="O65" s="21">
        <v>-6.2E-2</v>
      </c>
      <c r="P65" s="21" t="s">
        <v>149</v>
      </c>
      <c r="Q65" s="20">
        <v>1</v>
      </c>
      <c r="R65"/>
      <c r="S65" t="s">
        <v>237</v>
      </c>
      <c r="T65" s="21">
        <v>-0.36004225807655937</v>
      </c>
      <c r="U65" t="s">
        <v>149</v>
      </c>
      <c r="V65">
        <v>1</v>
      </c>
    </row>
    <row r="66" spans="1:22" s="19" customFormat="1" x14ac:dyDescent="0.25">
      <c r="A66">
        <v>8</v>
      </c>
      <c r="B66" t="s">
        <v>25</v>
      </c>
      <c r="C66" t="s">
        <v>58</v>
      </c>
      <c r="D66" t="s">
        <v>5</v>
      </c>
      <c r="E66">
        <v>150000</v>
      </c>
      <c r="F66">
        <v>100000</v>
      </c>
      <c r="G66" s="22" t="s">
        <v>126</v>
      </c>
      <c r="H66">
        <v>4.45</v>
      </c>
      <c r="I66">
        <v>30</v>
      </c>
      <c r="J66" t="s">
        <v>116</v>
      </c>
      <c r="K66">
        <v>30</v>
      </c>
      <c r="L66" s="20">
        <v>0.8</v>
      </c>
      <c r="M66" t="s">
        <v>115</v>
      </c>
      <c r="N66" t="s">
        <v>204</v>
      </c>
      <c r="O66" s="21">
        <v>-6.2E-2</v>
      </c>
      <c r="P66" s="21" t="s">
        <v>149</v>
      </c>
      <c r="Q66" s="20">
        <v>0.16666666666666666</v>
      </c>
      <c r="R66"/>
      <c r="S66" t="s">
        <v>245</v>
      </c>
      <c r="T66" s="21">
        <v>-0.36004225807655937</v>
      </c>
      <c r="U66" t="s">
        <v>149</v>
      </c>
      <c r="V66">
        <v>1</v>
      </c>
    </row>
    <row r="67" spans="1:22" x14ac:dyDescent="0.25">
      <c r="A67">
        <v>8</v>
      </c>
      <c r="B67" t="s">
        <v>25</v>
      </c>
      <c r="C67" t="s">
        <v>58</v>
      </c>
      <c r="D67" t="s">
        <v>5</v>
      </c>
      <c r="E67">
        <v>150000</v>
      </c>
      <c r="F67">
        <v>100000</v>
      </c>
      <c r="G67" s="22" t="s">
        <v>126</v>
      </c>
      <c r="H67">
        <v>4.63</v>
      </c>
      <c r="I67">
        <v>30</v>
      </c>
      <c r="J67" t="s">
        <v>117</v>
      </c>
      <c r="K67">
        <v>30</v>
      </c>
      <c r="L67" s="20">
        <v>0.8</v>
      </c>
      <c r="M67" t="s">
        <v>115</v>
      </c>
      <c r="N67" t="s">
        <v>198</v>
      </c>
      <c r="O67" s="21">
        <v>-6.2E-2</v>
      </c>
      <c r="P67" s="21" t="s">
        <v>149</v>
      </c>
      <c r="Q67" s="20">
        <v>0.16666666666666666</v>
      </c>
      <c r="S67" t="s">
        <v>246</v>
      </c>
      <c r="T67" s="21">
        <v>-0.36004225807655937</v>
      </c>
      <c r="U67" t="s">
        <v>149</v>
      </c>
      <c r="V67">
        <v>1</v>
      </c>
    </row>
    <row r="68" spans="1:22" x14ac:dyDescent="0.25">
      <c r="A68">
        <v>8</v>
      </c>
      <c r="B68" t="s">
        <v>25</v>
      </c>
      <c r="C68" t="s">
        <v>58</v>
      </c>
      <c r="D68" t="s">
        <v>5</v>
      </c>
      <c r="E68">
        <v>150000</v>
      </c>
      <c r="F68">
        <v>100000</v>
      </c>
      <c r="G68" t="s">
        <v>22</v>
      </c>
      <c r="H68">
        <v>4.4000000000000004</v>
      </c>
      <c r="I68">
        <v>30</v>
      </c>
      <c r="J68" t="s">
        <v>116</v>
      </c>
      <c r="K68">
        <v>30</v>
      </c>
      <c r="L68" s="20">
        <v>0.8</v>
      </c>
      <c r="M68" t="s">
        <v>115</v>
      </c>
      <c r="N68" t="s">
        <v>185</v>
      </c>
      <c r="O68" s="21">
        <v>-6.2E-2</v>
      </c>
      <c r="P68" s="21" t="s">
        <v>149</v>
      </c>
      <c r="Q68" s="20">
        <v>1</v>
      </c>
      <c r="S68" t="s">
        <v>253</v>
      </c>
      <c r="T68" s="21">
        <v>-0.36004225807655937</v>
      </c>
      <c r="U68" t="s">
        <v>149</v>
      </c>
      <c r="V68">
        <v>1</v>
      </c>
    </row>
    <row r="69" spans="1:22" x14ac:dyDescent="0.25">
      <c r="A69">
        <v>13</v>
      </c>
      <c r="B69" t="s">
        <v>66</v>
      </c>
      <c r="C69" t="s">
        <v>14</v>
      </c>
      <c r="D69" t="s">
        <v>5</v>
      </c>
      <c r="E69">
        <v>150000</v>
      </c>
      <c r="F69">
        <v>100000</v>
      </c>
      <c r="G69" t="s">
        <v>22</v>
      </c>
      <c r="H69">
        <v>3.41</v>
      </c>
      <c r="I69">
        <v>25</v>
      </c>
      <c r="J69" t="s">
        <v>117</v>
      </c>
      <c r="K69">
        <v>15</v>
      </c>
      <c r="L69" s="20">
        <v>0.7</v>
      </c>
      <c r="M69" t="s">
        <v>41</v>
      </c>
      <c r="N69" t="s">
        <v>157</v>
      </c>
      <c r="O69" s="21">
        <v>-0.01</v>
      </c>
      <c r="P69" s="21" t="s">
        <v>149</v>
      </c>
      <c r="Q69" s="20">
        <v>1</v>
      </c>
      <c r="S69" t="s">
        <v>168</v>
      </c>
      <c r="T69" s="21">
        <v>-0.2919785812368918</v>
      </c>
      <c r="U69" t="s">
        <v>149</v>
      </c>
      <c r="V69">
        <v>1</v>
      </c>
    </row>
    <row r="70" spans="1:22" x14ac:dyDescent="0.25">
      <c r="A70">
        <v>13</v>
      </c>
      <c r="B70" t="s">
        <v>66</v>
      </c>
      <c r="C70" t="s">
        <v>14</v>
      </c>
      <c r="D70" t="s">
        <v>5</v>
      </c>
      <c r="E70">
        <v>150000</v>
      </c>
      <c r="F70">
        <v>100000</v>
      </c>
      <c r="G70" t="s">
        <v>22</v>
      </c>
      <c r="H70">
        <v>3.44</v>
      </c>
      <c r="I70">
        <v>25</v>
      </c>
      <c r="J70" t="s">
        <v>116</v>
      </c>
      <c r="K70">
        <v>15</v>
      </c>
      <c r="L70" s="20">
        <v>0.7</v>
      </c>
      <c r="M70" t="s">
        <v>41</v>
      </c>
      <c r="N70" t="s">
        <v>166</v>
      </c>
      <c r="O70" s="21">
        <v>-0.01</v>
      </c>
      <c r="P70" s="21" t="s">
        <v>149</v>
      </c>
      <c r="Q70" s="20">
        <v>1</v>
      </c>
      <c r="S70" t="s">
        <v>169</v>
      </c>
      <c r="T70" s="21">
        <v>-0.2919785812368918</v>
      </c>
      <c r="U70" t="s">
        <v>149</v>
      </c>
      <c r="V70">
        <v>1</v>
      </c>
    </row>
    <row r="71" spans="1:22" x14ac:dyDescent="0.25">
      <c r="A71">
        <v>13</v>
      </c>
      <c r="B71" t="s">
        <v>66</v>
      </c>
      <c r="C71" t="s">
        <v>14</v>
      </c>
      <c r="D71" t="s">
        <v>5</v>
      </c>
      <c r="E71">
        <v>150000</v>
      </c>
      <c r="F71">
        <v>100000</v>
      </c>
      <c r="G71" s="19" t="s">
        <v>127</v>
      </c>
      <c r="H71">
        <v>3.73</v>
      </c>
      <c r="I71">
        <v>25</v>
      </c>
      <c r="J71" t="s">
        <v>116</v>
      </c>
      <c r="K71">
        <v>15</v>
      </c>
      <c r="L71" s="20">
        <v>0.7</v>
      </c>
      <c r="M71" t="s">
        <v>41</v>
      </c>
      <c r="N71" t="s">
        <v>181</v>
      </c>
      <c r="O71" s="21">
        <v>-0.01</v>
      </c>
      <c r="P71" s="21" t="s">
        <v>149</v>
      </c>
      <c r="Q71" s="20">
        <v>6.6666666666666666E-2</v>
      </c>
      <c r="S71" t="s">
        <v>192</v>
      </c>
      <c r="T71" s="21">
        <v>-0.2919785812368918</v>
      </c>
      <c r="U71" t="s">
        <v>149</v>
      </c>
      <c r="V71">
        <v>1</v>
      </c>
    </row>
    <row r="72" spans="1:22" x14ac:dyDescent="0.25">
      <c r="A72">
        <v>13</v>
      </c>
      <c r="B72" t="s">
        <v>66</v>
      </c>
      <c r="C72" t="s">
        <v>14</v>
      </c>
      <c r="D72" t="s">
        <v>5</v>
      </c>
      <c r="E72">
        <v>150000</v>
      </c>
      <c r="F72">
        <v>100000</v>
      </c>
      <c r="G72" s="19" t="s">
        <v>127</v>
      </c>
      <c r="H72">
        <v>3.51</v>
      </c>
      <c r="I72">
        <v>25</v>
      </c>
      <c r="J72" t="s">
        <v>117</v>
      </c>
      <c r="K72">
        <v>15</v>
      </c>
      <c r="L72" s="20">
        <v>0.7</v>
      </c>
      <c r="M72" t="s">
        <v>41</v>
      </c>
      <c r="N72" t="s">
        <v>163</v>
      </c>
      <c r="O72" s="21">
        <v>-0.01</v>
      </c>
      <c r="P72" s="21" t="s">
        <v>149</v>
      </c>
      <c r="Q72" s="20">
        <v>6.6666666666666666E-2</v>
      </c>
      <c r="S72" t="s">
        <v>193</v>
      </c>
      <c r="T72" s="21">
        <v>-0.2919785812368918</v>
      </c>
      <c r="U72" t="s">
        <v>149</v>
      </c>
      <c r="V72">
        <v>1</v>
      </c>
    </row>
    <row r="73" spans="1:22" x14ac:dyDescent="0.25">
      <c r="A73">
        <v>13</v>
      </c>
      <c r="B73" t="s">
        <v>66</v>
      </c>
      <c r="C73" t="s">
        <v>14</v>
      </c>
      <c r="D73" t="s">
        <v>5</v>
      </c>
      <c r="E73">
        <v>150000</v>
      </c>
      <c r="F73">
        <v>100000</v>
      </c>
      <c r="G73" t="s">
        <v>22</v>
      </c>
      <c r="H73">
        <v>3.39</v>
      </c>
      <c r="I73">
        <v>25</v>
      </c>
      <c r="J73" t="s">
        <v>117</v>
      </c>
      <c r="K73">
        <v>25</v>
      </c>
      <c r="L73" s="20">
        <v>0.7</v>
      </c>
      <c r="M73" t="s">
        <v>115</v>
      </c>
      <c r="N73" t="s">
        <v>183</v>
      </c>
      <c r="O73" s="21">
        <v>-0.01</v>
      </c>
      <c r="P73" s="21" t="s">
        <v>149</v>
      </c>
      <c r="Q73" s="20">
        <v>1</v>
      </c>
      <c r="S73" t="s">
        <v>202</v>
      </c>
      <c r="T73" s="21">
        <v>-0.2919785812368918</v>
      </c>
      <c r="U73" t="s">
        <v>149</v>
      </c>
      <c r="V73">
        <v>1</v>
      </c>
    </row>
    <row r="74" spans="1:22" x14ac:dyDescent="0.25">
      <c r="A74">
        <v>13</v>
      </c>
      <c r="B74" t="s">
        <v>66</v>
      </c>
      <c r="C74" t="s">
        <v>14</v>
      </c>
      <c r="D74" t="s">
        <v>5</v>
      </c>
      <c r="E74">
        <v>150000</v>
      </c>
      <c r="F74">
        <v>100000</v>
      </c>
      <c r="G74" t="s">
        <v>22</v>
      </c>
      <c r="H74">
        <v>3.46</v>
      </c>
      <c r="I74">
        <v>25</v>
      </c>
      <c r="J74" t="s">
        <v>116</v>
      </c>
      <c r="K74">
        <v>25</v>
      </c>
      <c r="L74" s="20">
        <v>0.7</v>
      </c>
      <c r="M74" t="s">
        <v>115</v>
      </c>
      <c r="N74" t="s">
        <v>185</v>
      </c>
      <c r="O74" s="21">
        <v>-0.01</v>
      </c>
      <c r="P74" s="21" t="s">
        <v>149</v>
      </c>
      <c r="Q74" s="20">
        <v>1</v>
      </c>
      <c r="S74" t="s">
        <v>203</v>
      </c>
      <c r="T74" s="21">
        <v>-0.2919785812368918</v>
      </c>
      <c r="U74" t="s">
        <v>149</v>
      </c>
      <c r="V74">
        <v>1</v>
      </c>
    </row>
    <row r="75" spans="1:22" x14ac:dyDescent="0.25">
      <c r="A75">
        <v>13</v>
      </c>
      <c r="B75" t="s">
        <v>66</v>
      </c>
      <c r="C75" t="s">
        <v>14</v>
      </c>
      <c r="D75" t="s">
        <v>5</v>
      </c>
      <c r="E75">
        <v>150000</v>
      </c>
      <c r="F75">
        <v>100000</v>
      </c>
      <c r="G75" s="19" t="s">
        <v>127</v>
      </c>
      <c r="H75">
        <v>3.85</v>
      </c>
      <c r="I75">
        <v>25</v>
      </c>
      <c r="J75" t="s">
        <v>116</v>
      </c>
      <c r="K75">
        <v>25</v>
      </c>
      <c r="L75" s="20">
        <v>0.7</v>
      </c>
      <c r="M75" t="s">
        <v>115</v>
      </c>
      <c r="N75" t="s">
        <v>223</v>
      </c>
      <c r="O75" s="21">
        <v>-0.01</v>
      </c>
      <c r="P75" s="21" t="s">
        <v>149</v>
      </c>
      <c r="Q75" s="20">
        <v>0.04</v>
      </c>
      <c r="S75" t="s">
        <v>225</v>
      </c>
      <c r="T75" s="21">
        <v>-0.2919785812368918</v>
      </c>
      <c r="U75" t="s">
        <v>149</v>
      </c>
      <c r="V75">
        <v>1</v>
      </c>
    </row>
    <row r="76" spans="1:22" x14ac:dyDescent="0.25">
      <c r="A76">
        <v>13</v>
      </c>
      <c r="B76" t="s">
        <v>66</v>
      </c>
      <c r="C76" t="s">
        <v>14</v>
      </c>
      <c r="D76" t="s">
        <v>5</v>
      </c>
      <c r="E76">
        <v>150000</v>
      </c>
      <c r="F76">
        <v>100000</v>
      </c>
      <c r="G76" s="19" t="s">
        <v>127</v>
      </c>
      <c r="H76">
        <v>3.77</v>
      </c>
      <c r="I76">
        <v>25</v>
      </c>
      <c r="J76" t="s">
        <v>117</v>
      </c>
      <c r="K76">
        <v>25</v>
      </c>
      <c r="L76" s="20">
        <v>0.7</v>
      </c>
      <c r="M76" t="s">
        <v>115</v>
      </c>
      <c r="N76" t="s">
        <v>221</v>
      </c>
      <c r="O76" s="21">
        <v>-0.01</v>
      </c>
      <c r="P76" s="21" t="s">
        <v>149</v>
      </c>
      <c r="Q76" s="20">
        <v>0.04</v>
      </c>
      <c r="S76" t="s">
        <v>226</v>
      </c>
      <c r="T76" s="21">
        <v>-0.2919785812368918</v>
      </c>
      <c r="U76" t="s">
        <v>149</v>
      </c>
      <c r="V76">
        <v>1</v>
      </c>
    </row>
    <row r="77" spans="1:22" x14ac:dyDescent="0.25">
      <c r="A77">
        <v>4</v>
      </c>
      <c r="B77" t="s">
        <v>25</v>
      </c>
      <c r="C77" t="s">
        <v>10</v>
      </c>
      <c r="D77" t="s">
        <v>5</v>
      </c>
      <c r="E77">
        <v>150000</v>
      </c>
      <c r="F77">
        <v>100000</v>
      </c>
      <c r="G77" t="s">
        <v>22</v>
      </c>
      <c r="H77">
        <v>3.7</v>
      </c>
      <c r="I77">
        <v>30</v>
      </c>
      <c r="J77" t="s">
        <v>117</v>
      </c>
      <c r="K77">
        <v>15</v>
      </c>
      <c r="L77" s="20">
        <v>0.8</v>
      </c>
      <c r="M77" t="s">
        <v>41</v>
      </c>
      <c r="N77" t="s">
        <v>157</v>
      </c>
      <c r="O77" s="21">
        <v>0.29899999999999999</v>
      </c>
      <c r="P77" s="21" t="s">
        <v>150</v>
      </c>
      <c r="Q77" s="20">
        <v>1</v>
      </c>
      <c r="S77" t="s">
        <v>171</v>
      </c>
      <c r="T77" s="21">
        <v>-0.90096630932712629</v>
      </c>
      <c r="U77" t="s">
        <v>149</v>
      </c>
      <c r="V77">
        <v>1</v>
      </c>
    </row>
    <row r="78" spans="1:22" x14ac:dyDescent="0.25">
      <c r="A78">
        <v>4</v>
      </c>
      <c r="B78" t="s">
        <v>25</v>
      </c>
      <c r="C78" t="s">
        <v>10</v>
      </c>
      <c r="D78" t="s">
        <v>5</v>
      </c>
      <c r="E78">
        <v>150000</v>
      </c>
      <c r="F78">
        <v>100000</v>
      </c>
      <c r="G78" t="s">
        <v>22</v>
      </c>
      <c r="H78">
        <v>4.4000000000000004</v>
      </c>
      <c r="I78">
        <v>30</v>
      </c>
      <c r="J78" t="s">
        <v>116</v>
      </c>
      <c r="K78">
        <v>15</v>
      </c>
      <c r="L78" s="20">
        <v>0.8</v>
      </c>
      <c r="M78" t="s">
        <v>41</v>
      </c>
      <c r="N78" t="s">
        <v>166</v>
      </c>
      <c r="O78" s="21">
        <v>0.29899999999999999</v>
      </c>
      <c r="P78" s="21" t="s">
        <v>150</v>
      </c>
      <c r="Q78" s="20">
        <v>1</v>
      </c>
      <c r="S78" t="s">
        <v>178</v>
      </c>
      <c r="T78" s="21">
        <v>-0.90096630932712629</v>
      </c>
      <c r="U78" t="s">
        <v>149</v>
      </c>
      <c r="V78">
        <v>1</v>
      </c>
    </row>
    <row r="79" spans="1:22" x14ac:dyDescent="0.25">
      <c r="A79">
        <v>4</v>
      </c>
      <c r="B79" t="s">
        <v>25</v>
      </c>
      <c r="C79" t="s">
        <v>10</v>
      </c>
      <c r="D79" t="s">
        <v>5</v>
      </c>
      <c r="E79">
        <v>150000</v>
      </c>
      <c r="F79">
        <v>100000</v>
      </c>
      <c r="G79" t="s">
        <v>22</v>
      </c>
      <c r="H79">
        <v>3.92</v>
      </c>
      <c r="I79">
        <v>30</v>
      </c>
      <c r="J79" t="s">
        <v>117</v>
      </c>
      <c r="K79">
        <v>25</v>
      </c>
      <c r="L79" s="20">
        <v>0.8</v>
      </c>
      <c r="M79" t="s">
        <v>115</v>
      </c>
      <c r="N79" t="s">
        <v>183</v>
      </c>
      <c r="O79" s="21">
        <v>0.29899999999999999</v>
      </c>
      <c r="P79" s="21" t="s">
        <v>150</v>
      </c>
      <c r="Q79" s="20">
        <v>1</v>
      </c>
      <c r="S79" t="s">
        <v>210</v>
      </c>
      <c r="T79" s="21">
        <v>-0.90096630932712629</v>
      </c>
      <c r="U79" t="s">
        <v>149</v>
      </c>
      <c r="V79">
        <v>1</v>
      </c>
    </row>
    <row r="80" spans="1:22" s="19" customFormat="1" x14ac:dyDescent="0.25">
      <c r="A80">
        <v>4</v>
      </c>
      <c r="B80" t="s">
        <v>25</v>
      </c>
      <c r="C80" t="s">
        <v>10</v>
      </c>
      <c r="D80" t="s">
        <v>5</v>
      </c>
      <c r="E80">
        <v>150000</v>
      </c>
      <c r="F80">
        <v>100000</v>
      </c>
      <c r="G80" t="s">
        <v>22</v>
      </c>
      <c r="H80">
        <v>4.42</v>
      </c>
      <c r="I80">
        <v>30</v>
      </c>
      <c r="J80" t="s">
        <v>116</v>
      </c>
      <c r="K80">
        <v>25</v>
      </c>
      <c r="L80" s="20">
        <v>0.8</v>
      </c>
      <c r="M80" t="s">
        <v>115</v>
      </c>
      <c r="N80" t="s">
        <v>185</v>
      </c>
      <c r="O80" s="21">
        <v>0.29899999999999999</v>
      </c>
      <c r="P80" s="21" t="s">
        <v>150</v>
      </c>
      <c r="Q80" s="20">
        <v>1</v>
      </c>
      <c r="R80"/>
      <c r="S80" t="s">
        <v>215</v>
      </c>
      <c r="T80" s="21">
        <v>-0.90096630932712629</v>
      </c>
      <c r="U80" t="s">
        <v>149</v>
      </c>
      <c r="V80">
        <v>1</v>
      </c>
    </row>
    <row r="81" spans="1:22" s="19" customFormat="1" x14ac:dyDescent="0.25">
      <c r="A81">
        <v>4</v>
      </c>
      <c r="B81" t="s">
        <v>25</v>
      </c>
      <c r="C81" t="s">
        <v>10</v>
      </c>
      <c r="D81" t="s">
        <v>5</v>
      </c>
      <c r="E81">
        <v>150000</v>
      </c>
      <c r="F81">
        <v>100000</v>
      </c>
      <c r="G81" t="s">
        <v>22</v>
      </c>
      <c r="H81">
        <v>4.1100000000000003</v>
      </c>
      <c r="I81">
        <v>30</v>
      </c>
      <c r="J81" t="s">
        <v>117</v>
      </c>
      <c r="K81">
        <v>30</v>
      </c>
      <c r="L81" s="20">
        <v>0.8</v>
      </c>
      <c r="M81" t="s">
        <v>115</v>
      </c>
      <c r="N81" t="s">
        <v>183</v>
      </c>
      <c r="O81" s="21">
        <v>0.29899999999999999</v>
      </c>
      <c r="P81" s="21" t="s">
        <v>150</v>
      </c>
      <c r="Q81" s="20">
        <v>1</v>
      </c>
      <c r="R81"/>
      <c r="S81" t="s">
        <v>242</v>
      </c>
      <c r="T81" s="21">
        <v>-0.90096630932712629</v>
      </c>
      <c r="U81" t="s">
        <v>149</v>
      </c>
      <c r="V81">
        <v>1</v>
      </c>
    </row>
    <row r="82" spans="1:22" s="19" customFormat="1" x14ac:dyDescent="0.25">
      <c r="A82">
        <v>4</v>
      </c>
      <c r="B82" t="s">
        <v>25</v>
      </c>
      <c r="C82" t="s">
        <v>10</v>
      </c>
      <c r="D82" t="s">
        <v>5</v>
      </c>
      <c r="E82">
        <v>150000</v>
      </c>
      <c r="F82">
        <v>100000</v>
      </c>
      <c r="G82" t="s">
        <v>22</v>
      </c>
      <c r="H82">
        <v>4.3899999999999997</v>
      </c>
      <c r="I82">
        <v>30</v>
      </c>
      <c r="J82" t="s">
        <v>116</v>
      </c>
      <c r="K82">
        <v>30</v>
      </c>
      <c r="L82" s="20">
        <v>0.8</v>
      </c>
      <c r="M82" t="s">
        <v>115</v>
      </c>
      <c r="N82" t="s">
        <v>185</v>
      </c>
      <c r="O82" s="21">
        <v>0.29899999999999999</v>
      </c>
      <c r="P82" s="21" t="s">
        <v>150</v>
      </c>
      <c r="Q82" s="20">
        <v>1</v>
      </c>
      <c r="R82"/>
      <c r="S82" t="s">
        <v>244</v>
      </c>
      <c r="T82" s="21">
        <v>-0.90096630932712629</v>
      </c>
      <c r="U82" t="s">
        <v>149</v>
      </c>
      <c r="V82">
        <v>1</v>
      </c>
    </row>
    <row r="83" spans="1:22" x14ac:dyDescent="0.25">
      <c r="A83">
        <v>1</v>
      </c>
      <c r="B83" t="s">
        <v>25</v>
      </c>
      <c r="C83" t="s">
        <v>4</v>
      </c>
      <c r="D83" t="s">
        <v>7</v>
      </c>
      <c r="E83">
        <v>150000</v>
      </c>
      <c r="F83">
        <v>100000</v>
      </c>
      <c r="G83" t="s">
        <v>22</v>
      </c>
      <c r="H83">
        <v>4.6100000000000003</v>
      </c>
      <c r="I83">
        <v>30</v>
      </c>
      <c r="J83" t="s">
        <v>117</v>
      </c>
      <c r="K83">
        <v>15</v>
      </c>
      <c r="L83" s="20">
        <v>0.8</v>
      </c>
      <c r="M83" t="s">
        <v>41</v>
      </c>
      <c r="N83" t="s">
        <v>153</v>
      </c>
      <c r="O83" s="21">
        <v>0.36899999999999999</v>
      </c>
      <c r="P83" s="21" t="s">
        <v>150</v>
      </c>
      <c r="Q83" s="20">
        <v>1</v>
      </c>
      <c r="S83" t="s">
        <v>154</v>
      </c>
      <c r="T83" s="21">
        <v>-0.81705804767477974</v>
      </c>
      <c r="U83" t="s">
        <v>149</v>
      </c>
      <c r="V83">
        <v>1</v>
      </c>
    </row>
    <row r="84" spans="1:22" x14ac:dyDescent="0.25">
      <c r="A84">
        <v>1</v>
      </c>
      <c r="B84" t="s">
        <v>25</v>
      </c>
      <c r="C84" t="s">
        <v>4</v>
      </c>
      <c r="D84" t="s">
        <v>7</v>
      </c>
      <c r="E84">
        <v>150000</v>
      </c>
      <c r="F84">
        <v>100000</v>
      </c>
      <c r="G84" t="s">
        <v>22</v>
      </c>
      <c r="H84">
        <v>5.04</v>
      </c>
      <c r="I84">
        <v>30</v>
      </c>
      <c r="J84" t="s">
        <v>116</v>
      </c>
      <c r="K84">
        <v>15</v>
      </c>
      <c r="L84" s="20">
        <v>0.8</v>
      </c>
      <c r="M84" t="s">
        <v>41</v>
      </c>
      <c r="N84" t="s">
        <v>155</v>
      </c>
      <c r="O84" s="21">
        <v>0.36899999999999999</v>
      </c>
      <c r="P84" s="21" t="s">
        <v>150</v>
      </c>
      <c r="Q84" s="20">
        <v>1</v>
      </c>
      <c r="S84" t="s">
        <v>156</v>
      </c>
      <c r="T84" s="21">
        <v>-0.81705804767477974</v>
      </c>
      <c r="U84" t="s">
        <v>149</v>
      </c>
      <c r="V84">
        <v>1</v>
      </c>
    </row>
    <row r="85" spans="1:22" x14ac:dyDescent="0.25">
      <c r="A85">
        <v>1</v>
      </c>
      <c r="B85" t="s">
        <v>25</v>
      </c>
      <c r="C85" t="s">
        <v>4</v>
      </c>
      <c r="D85" t="s">
        <v>5</v>
      </c>
      <c r="E85">
        <v>150000</v>
      </c>
      <c r="F85">
        <v>100000</v>
      </c>
      <c r="G85" t="s">
        <v>22</v>
      </c>
      <c r="H85">
        <v>4.6100000000000003</v>
      </c>
      <c r="I85">
        <v>30</v>
      </c>
      <c r="J85" t="s">
        <v>117</v>
      </c>
      <c r="K85">
        <v>15</v>
      </c>
      <c r="L85" s="20">
        <v>0.8</v>
      </c>
      <c r="M85" t="s">
        <v>41</v>
      </c>
      <c r="N85" t="s">
        <v>157</v>
      </c>
      <c r="O85" s="21">
        <v>0.36899999999999999</v>
      </c>
      <c r="P85" s="21" t="s">
        <v>150</v>
      </c>
      <c r="Q85" s="20">
        <v>1</v>
      </c>
      <c r="S85" t="s">
        <v>158</v>
      </c>
      <c r="T85" s="21">
        <v>-0.81705804767477974</v>
      </c>
      <c r="U85" t="s">
        <v>149</v>
      </c>
      <c r="V85">
        <v>1</v>
      </c>
    </row>
    <row r="86" spans="1:22" x14ac:dyDescent="0.25">
      <c r="A86">
        <v>1</v>
      </c>
      <c r="B86" t="s">
        <v>25</v>
      </c>
      <c r="C86" t="s">
        <v>4</v>
      </c>
      <c r="D86" t="s">
        <v>5</v>
      </c>
      <c r="E86">
        <v>150000</v>
      </c>
      <c r="F86">
        <v>100000</v>
      </c>
      <c r="G86" s="22" t="s">
        <v>126</v>
      </c>
      <c r="H86">
        <v>4.51</v>
      </c>
      <c r="I86">
        <v>30</v>
      </c>
      <c r="J86" t="s">
        <v>117</v>
      </c>
      <c r="K86">
        <v>15</v>
      </c>
      <c r="L86" s="20">
        <v>0.8</v>
      </c>
      <c r="M86" t="s">
        <v>41</v>
      </c>
      <c r="N86" t="s">
        <v>159</v>
      </c>
      <c r="O86" s="21">
        <v>0.36899999999999999</v>
      </c>
      <c r="P86" s="21" t="s">
        <v>150</v>
      </c>
      <c r="Q86" s="20">
        <v>0.6333333333333333</v>
      </c>
      <c r="S86" t="s">
        <v>160</v>
      </c>
      <c r="T86" s="21">
        <v>-0.81705804767477974</v>
      </c>
      <c r="U86" t="s">
        <v>149</v>
      </c>
      <c r="V86">
        <v>1</v>
      </c>
    </row>
    <row r="87" spans="1:22" x14ac:dyDescent="0.25">
      <c r="A87">
        <v>1</v>
      </c>
      <c r="B87" t="s">
        <v>25</v>
      </c>
      <c r="C87" t="s">
        <v>4</v>
      </c>
      <c r="D87" t="s">
        <v>5</v>
      </c>
      <c r="E87">
        <v>150000</v>
      </c>
      <c r="F87">
        <v>100000</v>
      </c>
      <c r="G87" s="22" t="s">
        <v>126</v>
      </c>
      <c r="H87">
        <v>4.9400000000000004</v>
      </c>
      <c r="I87">
        <v>30</v>
      </c>
      <c r="J87" t="s">
        <v>116</v>
      </c>
      <c r="K87">
        <v>15</v>
      </c>
      <c r="L87" s="20">
        <v>0.8</v>
      </c>
      <c r="M87" t="s">
        <v>41</v>
      </c>
      <c r="N87" t="s">
        <v>161</v>
      </c>
      <c r="O87" s="21">
        <v>0.36899999999999999</v>
      </c>
      <c r="P87" s="21" t="s">
        <v>150</v>
      </c>
      <c r="Q87" s="20">
        <v>0.6333333333333333</v>
      </c>
      <c r="S87" t="s">
        <v>162</v>
      </c>
      <c r="T87" s="21">
        <v>-0.81705804767477974</v>
      </c>
      <c r="U87" t="s">
        <v>149</v>
      </c>
      <c r="V87">
        <v>1</v>
      </c>
    </row>
    <row r="88" spans="1:22" x14ac:dyDescent="0.25">
      <c r="A88">
        <v>1</v>
      </c>
      <c r="B88" t="s">
        <v>25</v>
      </c>
      <c r="C88" t="s">
        <v>4</v>
      </c>
      <c r="D88" t="s">
        <v>5</v>
      </c>
      <c r="E88">
        <v>150000</v>
      </c>
      <c r="F88">
        <v>100000</v>
      </c>
      <c r="G88" s="19" t="s">
        <v>127</v>
      </c>
      <c r="H88">
        <v>4.3099999999999996</v>
      </c>
      <c r="I88">
        <v>30</v>
      </c>
      <c r="J88" t="s">
        <v>117</v>
      </c>
      <c r="K88">
        <v>15</v>
      </c>
      <c r="L88" s="20">
        <v>0.8</v>
      </c>
      <c r="M88" t="s">
        <v>41</v>
      </c>
      <c r="N88" t="s">
        <v>163</v>
      </c>
      <c r="O88" s="21">
        <v>0.36899999999999999</v>
      </c>
      <c r="P88" s="21" t="s">
        <v>150</v>
      </c>
      <c r="Q88" s="20">
        <v>3.4482758620689655E-2</v>
      </c>
      <c r="S88" t="s">
        <v>164</v>
      </c>
      <c r="T88" s="21">
        <v>-0.81705804767477974</v>
      </c>
      <c r="U88" t="s">
        <v>149</v>
      </c>
      <c r="V88">
        <v>1</v>
      </c>
    </row>
    <row r="89" spans="1:22" x14ac:dyDescent="0.25">
      <c r="A89">
        <v>1</v>
      </c>
      <c r="B89" t="s">
        <v>25</v>
      </c>
      <c r="C89" t="s">
        <v>4</v>
      </c>
      <c r="D89" t="s">
        <v>5</v>
      </c>
      <c r="E89">
        <v>150000</v>
      </c>
      <c r="F89">
        <v>100000</v>
      </c>
      <c r="G89" s="19" t="s">
        <v>127</v>
      </c>
      <c r="H89">
        <v>4.74</v>
      </c>
      <c r="I89">
        <v>30</v>
      </c>
      <c r="J89" t="s">
        <v>116</v>
      </c>
      <c r="K89">
        <v>15</v>
      </c>
      <c r="L89" s="20">
        <v>0.8</v>
      </c>
      <c r="M89" t="s">
        <v>41</v>
      </c>
      <c r="N89" t="s">
        <v>181</v>
      </c>
      <c r="O89" s="21">
        <v>0.36899999999999999</v>
      </c>
      <c r="P89" s="21" t="s">
        <v>150</v>
      </c>
      <c r="Q89" s="20">
        <v>3.4482758620689655E-2</v>
      </c>
      <c r="S89" t="s">
        <v>182</v>
      </c>
      <c r="T89" s="21">
        <v>-0.81705804767477974</v>
      </c>
      <c r="U89" t="s">
        <v>149</v>
      </c>
      <c r="V89">
        <v>1</v>
      </c>
    </row>
    <row r="90" spans="1:22" x14ac:dyDescent="0.25">
      <c r="A90">
        <v>1</v>
      </c>
      <c r="B90" t="s">
        <v>25</v>
      </c>
      <c r="C90" t="s">
        <v>4</v>
      </c>
      <c r="D90" t="s">
        <v>5</v>
      </c>
      <c r="E90">
        <v>150000</v>
      </c>
      <c r="F90">
        <v>100000</v>
      </c>
      <c r="G90" t="s">
        <v>22</v>
      </c>
      <c r="H90">
        <v>5.04</v>
      </c>
      <c r="I90">
        <v>30</v>
      </c>
      <c r="J90" t="s">
        <v>116</v>
      </c>
      <c r="K90">
        <v>15</v>
      </c>
      <c r="L90" s="20">
        <v>0.8</v>
      </c>
      <c r="M90" t="s">
        <v>41</v>
      </c>
      <c r="N90" t="s">
        <v>166</v>
      </c>
      <c r="O90" s="21">
        <v>0.36899999999999999</v>
      </c>
      <c r="P90" s="21" t="s">
        <v>150</v>
      </c>
      <c r="Q90" s="20">
        <v>1</v>
      </c>
      <c r="S90" t="s">
        <v>189</v>
      </c>
      <c r="T90" s="21">
        <v>-0.81705804767477974</v>
      </c>
      <c r="U90" t="s">
        <v>149</v>
      </c>
      <c r="V90">
        <v>1</v>
      </c>
    </row>
    <row r="91" spans="1:22" x14ac:dyDescent="0.25">
      <c r="A91">
        <v>1</v>
      </c>
      <c r="B91" t="s">
        <v>25</v>
      </c>
      <c r="C91" t="s">
        <v>4</v>
      </c>
      <c r="D91" t="s">
        <v>7</v>
      </c>
      <c r="E91">
        <v>150000</v>
      </c>
      <c r="F91">
        <v>100000</v>
      </c>
      <c r="G91" t="s">
        <v>22</v>
      </c>
      <c r="H91">
        <v>4.71</v>
      </c>
      <c r="I91">
        <v>30</v>
      </c>
      <c r="J91" t="s">
        <v>117</v>
      </c>
      <c r="K91">
        <v>20</v>
      </c>
      <c r="L91" s="20">
        <v>0.8</v>
      </c>
      <c r="M91" t="s">
        <v>115</v>
      </c>
      <c r="N91" t="s">
        <v>190</v>
      </c>
      <c r="O91" s="21">
        <v>0.36899999999999999</v>
      </c>
      <c r="P91" s="21" t="s">
        <v>150</v>
      </c>
      <c r="Q91" s="20">
        <v>1</v>
      </c>
      <c r="S91" t="s">
        <v>191</v>
      </c>
      <c r="T91" s="21">
        <v>-0.81705804767477974</v>
      </c>
      <c r="U91" t="s">
        <v>149</v>
      </c>
      <c r="V91">
        <v>1</v>
      </c>
    </row>
    <row r="92" spans="1:22" x14ac:dyDescent="0.25">
      <c r="A92">
        <v>1</v>
      </c>
      <c r="B92" t="s">
        <v>25</v>
      </c>
      <c r="C92" t="s">
        <v>4</v>
      </c>
      <c r="D92" t="s">
        <v>7</v>
      </c>
      <c r="E92">
        <v>150000</v>
      </c>
      <c r="F92">
        <v>100000</v>
      </c>
      <c r="G92" t="s">
        <v>22</v>
      </c>
      <c r="H92">
        <v>5.19</v>
      </c>
      <c r="I92">
        <v>30</v>
      </c>
      <c r="J92" t="s">
        <v>116</v>
      </c>
      <c r="K92">
        <v>20</v>
      </c>
      <c r="L92" s="20">
        <v>0.8</v>
      </c>
      <c r="M92" t="s">
        <v>115</v>
      </c>
      <c r="N92" t="s">
        <v>196</v>
      </c>
      <c r="O92" s="21">
        <v>0.36899999999999999</v>
      </c>
      <c r="P92" s="21" t="s">
        <v>150</v>
      </c>
      <c r="Q92" s="20">
        <v>1</v>
      </c>
      <c r="S92" t="s">
        <v>197</v>
      </c>
      <c r="T92" s="21">
        <v>-0.81705804767477974</v>
      </c>
      <c r="U92" t="s">
        <v>149</v>
      </c>
      <c r="V92">
        <v>1</v>
      </c>
    </row>
    <row r="93" spans="1:22" x14ac:dyDescent="0.25">
      <c r="A93">
        <v>1</v>
      </c>
      <c r="B93" t="s">
        <v>25</v>
      </c>
      <c r="C93" t="s">
        <v>4</v>
      </c>
      <c r="D93" t="s">
        <v>5</v>
      </c>
      <c r="E93">
        <v>150000</v>
      </c>
      <c r="F93">
        <v>100000</v>
      </c>
      <c r="G93" s="22" t="s">
        <v>126</v>
      </c>
      <c r="H93">
        <v>4.66</v>
      </c>
      <c r="I93">
        <v>30</v>
      </c>
      <c r="J93" t="s">
        <v>117</v>
      </c>
      <c r="K93">
        <v>25</v>
      </c>
      <c r="L93" s="20">
        <v>0.8</v>
      </c>
      <c r="M93" t="s">
        <v>115</v>
      </c>
      <c r="N93" t="s">
        <v>198</v>
      </c>
      <c r="O93" s="21">
        <v>0.36899999999999999</v>
      </c>
      <c r="P93" s="21" t="s">
        <v>150</v>
      </c>
      <c r="Q93" s="20">
        <v>0.38</v>
      </c>
      <c r="S93" t="s">
        <v>199</v>
      </c>
      <c r="T93" s="21">
        <v>-0.81705804767477974</v>
      </c>
      <c r="U93" t="s">
        <v>149</v>
      </c>
      <c r="V93">
        <v>1</v>
      </c>
    </row>
    <row r="94" spans="1:22" x14ac:dyDescent="0.25">
      <c r="A94">
        <v>1</v>
      </c>
      <c r="B94" t="s">
        <v>25</v>
      </c>
      <c r="C94" t="s">
        <v>4</v>
      </c>
      <c r="D94" t="s">
        <v>5</v>
      </c>
      <c r="E94">
        <v>150000</v>
      </c>
      <c r="F94">
        <v>100000</v>
      </c>
      <c r="G94" s="22" t="s">
        <v>126</v>
      </c>
      <c r="H94">
        <v>5.18</v>
      </c>
      <c r="I94">
        <v>30</v>
      </c>
      <c r="J94" t="s">
        <v>116</v>
      </c>
      <c r="K94">
        <v>25</v>
      </c>
      <c r="L94" s="20">
        <v>0.8</v>
      </c>
      <c r="M94" t="s">
        <v>115</v>
      </c>
      <c r="N94" t="s">
        <v>204</v>
      </c>
      <c r="O94" s="21">
        <v>0.36899999999999999</v>
      </c>
      <c r="P94" s="21" t="s">
        <v>150</v>
      </c>
      <c r="Q94" s="20">
        <v>0.38</v>
      </c>
      <c r="S94" t="s">
        <v>205</v>
      </c>
      <c r="T94" s="21">
        <v>-0.81705804767477974</v>
      </c>
      <c r="U94" t="s">
        <v>149</v>
      </c>
      <c r="V94">
        <v>1</v>
      </c>
    </row>
    <row r="95" spans="1:22" x14ac:dyDescent="0.25">
      <c r="A95">
        <v>1</v>
      </c>
      <c r="B95" t="s">
        <v>25</v>
      </c>
      <c r="C95" t="s">
        <v>4</v>
      </c>
      <c r="D95" t="s">
        <v>5</v>
      </c>
      <c r="E95">
        <v>150000</v>
      </c>
      <c r="F95">
        <v>100000</v>
      </c>
      <c r="G95" s="19" t="s">
        <v>127</v>
      </c>
      <c r="H95">
        <v>4.45</v>
      </c>
      <c r="I95">
        <v>30</v>
      </c>
      <c r="J95" t="s">
        <v>117</v>
      </c>
      <c r="K95">
        <v>25</v>
      </c>
      <c r="L95" s="20">
        <v>0.8</v>
      </c>
      <c r="M95" t="s">
        <v>115</v>
      </c>
      <c r="N95" t="s">
        <v>221</v>
      </c>
      <c r="O95" s="21">
        <v>0.36899999999999999</v>
      </c>
      <c r="P95" s="21" t="s">
        <v>150</v>
      </c>
      <c r="Q95" s="20">
        <v>0.02</v>
      </c>
      <c r="S95" t="s">
        <v>222</v>
      </c>
      <c r="T95" s="21">
        <v>-0.81705804767477974</v>
      </c>
      <c r="U95" t="s">
        <v>149</v>
      </c>
      <c r="V95">
        <v>1</v>
      </c>
    </row>
    <row r="96" spans="1:22" x14ac:dyDescent="0.25">
      <c r="A96">
        <v>1</v>
      </c>
      <c r="B96" t="s">
        <v>25</v>
      </c>
      <c r="C96" t="s">
        <v>4</v>
      </c>
      <c r="D96" t="s">
        <v>5</v>
      </c>
      <c r="E96">
        <v>150000</v>
      </c>
      <c r="F96">
        <v>100000</v>
      </c>
      <c r="G96" s="19" t="s">
        <v>127</v>
      </c>
      <c r="H96">
        <v>4.96</v>
      </c>
      <c r="I96">
        <v>30</v>
      </c>
      <c r="J96" t="s">
        <v>116</v>
      </c>
      <c r="K96">
        <v>25</v>
      </c>
      <c r="L96" s="20">
        <v>0.8</v>
      </c>
      <c r="M96" t="s">
        <v>115</v>
      </c>
      <c r="N96" t="s">
        <v>223</v>
      </c>
      <c r="O96" s="21">
        <v>0.36899999999999999</v>
      </c>
      <c r="P96" s="21" t="s">
        <v>150</v>
      </c>
      <c r="Q96" s="20">
        <v>0.02</v>
      </c>
      <c r="S96" t="s">
        <v>224</v>
      </c>
      <c r="T96" s="21">
        <v>-0.81705804767477974</v>
      </c>
      <c r="U96" t="s">
        <v>149</v>
      </c>
      <c r="V96">
        <v>1</v>
      </c>
    </row>
    <row r="97" spans="1:22" x14ac:dyDescent="0.25">
      <c r="A97">
        <v>1</v>
      </c>
      <c r="B97" t="s">
        <v>25</v>
      </c>
      <c r="C97" t="s">
        <v>4</v>
      </c>
      <c r="D97" t="s">
        <v>5</v>
      </c>
      <c r="E97">
        <v>150000</v>
      </c>
      <c r="F97">
        <v>100000</v>
      </c>
      <c r="G97" t="s">
        <v>22</v>
      </c>
      <c r="H97">
        <v>4.76</v>
      </c>
      <c r="I97">
        <v>30</v>
      </c>
      <c r="J97" t="s">
        <v>117</v>
      </c>
      <c r="K97">
        <v>25</v>
      </c>
      <c r="L97" s="20">
        <v>0.8</v>
      </c>
      <c r="M97" t="s">
        <v>115</v>
      </c>
      <c r="N97" t="s">
        <v>183</v>
      </c>
      <c r="O97" s="21">
        <v>0.36899999999999999</v>
      </c>
      <c r="P97" s="21" t="s">
        <v>150</v>
      </c>
      <c r="Q97" s="20">
        <v>1</v>
      </c>
      <c r="S97" t="s">
        <v>227</v>
      </c>
      <c r="T97" s="21">
        <v>-0.81705804767477974</v>
      </c>
      <c r="U97" t="s">
        <v>149</v>
      </c>
      <c r="V97">
        <v>1</v>
      </c>
    </row>
    <row r="98" spans="1:22" x14ac:dyDescent="0.25">
      <c r="A98">
        <v>1</v>
      </c>
      <c r="B98" t="s">
        <v>25</v>
      </c>
      <c r="C98" t="s">
        <v>4</v>
      </c>
      <c r="D98" t="s">
        <v>5</v>
      </c>
      <c r="E98">
        <v>150000</v>
      </c>
      <c r="F98">
        <v>100000</v>
      </c>
      <c r="G98" t="s">
        <v>22</v>
      </c>
      <c r="H98">
        <v>5.29</v>
      </c>
      <c r="I98">
        <v>30</v>
      </c>
      <c r="J98" t="s">
        <v>116</v>
      </c>
      <c r="K98">
        <v>25</v>
      </c>
      <c r="L98" s="20">
        <v>0.8</v>
      </c>
      <c r="M98" t="s">
        <v>115</v>
      </c>
      <c r="N98" t="s">
        <v>185</v>
      </c>
      <c r="O98" s="21">
        <v>0.36899999999999999</v>
      </c>
      <c r="P98" s="21" t="s">
        <v>150</v>
      </c>
      <c r="Q98" s="20">
        <v>1</v>
      </c>
      <c r="S98" t="s">
        <v>228</v>
      </c>
      <c r="T98" s="21">
        <v>-0.81705804767477974</v>
      </c>
      <c r="U98" t="s">
        <v>149</v>
      </c>
      <c r="V98">
        <v>1</v>
      </c>
    </row>
    <row r="99" spans="1:22" x14ac:dyDescent="0.25">
      <c r="A99">
        <v>1</v>
      </c>
      <c r="B99" t="s">
        <v>25</v>
      </c>
      <c r="C99" t="s">
        <v>4</v>
      </c>
      <c r="D99" t="s">
        <v>7</v>
      </c>
      <c r="E99">
        <v>150000</v>
      </c>
      <c r="F99">
        <v>100000</v>
      </c>
      <c r="G99" t="s">
        <v>22</v>
      </c>
      <c r="H99">
        <v>4.84</v>
      </c>
      <c r="I99">
        <v>30</v>
      </c>
      <c r="J99" t="s">
        <v>117</v>
      </c>
      <c r="K99">
        <v>30</v>
      </c>
      <c r="L99" s="20">
        <v>0.8</v>
      </c>
      <c r="M99" t="s">
        <v>115</v>
      </c>
      <c r="N99" t="s">
        <v>190</v>
      </c>
      <c r="O99" s="21">
        <v>0.36899999999999999</v>
      </c>
      <c r="P99" s="21" t="s">
        <v>150</v>
      </c>
      <c r="Q99" s="20">
        <v>1</v>
      </c>
      <c r="S99" t="s">
        <v>231</v>
      </c>
      <c r="T99" s="21">
        <v>-0.81705804767477974</v>
      </c>
      <c r="U99" t="s">
        <v>149</v>
      </c>
      <c r="V99">
        <v>1</v>
      </c>
    </row>
    <row r="100" spans="1:22" x14ac:dyDescent="0.25">
      <c r="A100">
        <v>1</v>
      </c>
      <c r="B100" t="s">
        <v>25</v>
      </c>
      <c r="C100" t="s">
        <v>4</v>
      </c>
      <c r="D100" t="s">
        <v>7</v>
      </c>
      <c r="E100">
        <v>150000</v>
      </c>
      <c r="F100">
        <v>100000</v>
      </c>
      <c r="G100" t="s">
        <v>22</v>
      </c>
      <c r="H100">
        <v>5.4</v>
      </c>
      <c r="I100">
        <v>30</v>
      </c>
      <c r="J100" t="s">
        <v>116</v>
      </c>
      <c r="K100">
        <v>30</v>
      </c>
      <c r="L100" s="20">
        <v>0.8</v>
      </c>
      <c r="M100" t="s">
        <v>115</v>
      </c>
      <c r="N100" t="s">
        <v>196</v>
      </c>
      <c r="O100" s="21">
        <v>0.36899999999999999</v>
      </c>
      <c r="P100" s="21" t="s">
        <v>150</v>
      </c>
      <c r="Q100" s="20">
        <v>1</v>
      </c>
      <c r="S100" t="s">
        <v>233</v>
      </c>
      <c r="T100" s="21">
        <v>-0.81705804767477974</v>
      </c>
      <c r="U100" t="s">
        <v>149</v>
      </c>
      <c r="V100">
        <v>1</v>
      </c>
    </row>
    <row r="101" spans="1:22" x14ac:dyDescent="0.25">
      <c r="A101">
        <v>1</v>
      </c>
      <c r="B101" t="s">
        <v>25</v>
      </c>
      <c r="C101" t="s">
        <v>4</v>
      </c>
      <c r="D101" t="s">
        <v>5</v>
      </c>
      <c r="E101">
        <v>150000</v>
      </c>
      <c r="F101">
        <v>100000</v>
      </c>
      <c r="G101" s="22" t="s">
        <v>126</v>
      </c>
      <c r="H101">
        <v>4.76</v>
      </c>
      <c r="I101">
        <v>30</v>
      </c>
      <c r="J101" t="s">
        <v>117</v>
      </c>
      <c r="K101">
        <v>30</v>
      </c>
      <c r="L101" s="20">
        <v>0.8</v>
      </c>
      <c r="M101" t="s">
        <v>115</v>
      </c>
      <c r="N101" t="s">
        <v>198</v>
      </c>
      <c r="O101" s="21">
        <v>0.36899999999999999</v>
      </c>
      <c r="P101" s="21" t="s">
        <v>150</v>
      </c>
      <c r="Q101" s="20">
        <v>0.31666666666666665</v>
      </c>
      <c r="S101" t="s">
        <v>247</v>
      </c>
      <c r="T101" s="21">
        <v>-0.81705804767477974</v>
      </c>
      <c r="U101" t="s">
        <v>149</v>
      </c>
      <c r="V101">
        <v>1</v>
      </c>
    </row>
    <row r="102" spans="1:22" x14ac:dyDescent="0.25">
      <c r="A102">
        <v>1</v>
      </c>
      <c r="B102" t="s">
        <v>25</v>
      </c>
      <c r="C102" t="s">
        <v>4</v>
      </c>
      <c r="D102" t="s">
        <v>5</v>
      </c>
      <c r="E102">
        <v>150000</v>
      </c>
      <c r="F102">
        <v>100000</v>
      </c>
      <c r="G102" s="22" t="s">
        <v>126</v>
      </c>
      <c r="H102">
        <v>5.31</v>
      </c>
      <c r="I102">
        <v>30</v>
      </c>
      <c r="J102" t="s">
        <v>116</v>
      </c>
      <c r="K102">
        <v>30</v>
      </c>
      <c r="L102" s="20">
        <v>0.8</v>
      </c>
      <c r="M102" t="s">
        <v>115</v>
      </c>
      <c r="N102" t="s">
        <v>204</v>
      </c>
      <c r="O102" s="21">
        <v>0.36899999999999999</v>
      </c>
      <c r="P102" s="21" t="s">
        <v>150</v>
      </c>
      <c r="Q102" s="20">
        <v>0.31666666666666665</v>
      </c>
      <c r="S102" t="s">
        <v>248</v>
      </c>
      <c r="T102" s="21">
        <v>-0.81705804767477974</v>
      </c>
      <c r="U102" t="s">
        <v>149</v>
      </c>
      <c r="V102">
        <v>1</v>
      </c>
    </row>
    <row r="103" spans="1:22" x14ac:dyDescent="0.25">
      <c r="A103">
        <v>1</v>
      </c>
      <c r="B103" t="s">
        <v>25</v>
      </c>
      <c r="C103" t="s">
        <v>4</v>
      </c>
      <c r="D103" t="s">
        <v>5</v>
      </c>
      <c r="E103">
        <v>150000</v>
      </c>
      <c r="F103">
        <v>100000</v>
      </c>
      <c r="G103" s="19" t="s">
        <v>127</v>
      </c>
      <c r="H103">
        <v>4.5199999999999996</v>
      </c>
      <c r="I103">
        <v>30</v>
      </c>
      <c r="J103" t="s">
        <v>117</v>
      </c>
      <c r="K103">
        <v>30</v>
      </c>
      <c r="L103" s="20">
        <v>0.8</v>
      </c>
      <c r="M103" t="s">
        <v>115</v>
      </c>
      <c r="N103" t="s">
        <v>221</v>
      </c>
      <c r="O103" s="21">
        <v>0.36899999999999999</v>
      </c>
      <c r="P103" s="21" t="s">
        <v>150</v>
      </c>
      <c r="Q103" s="20">
        <v>1.6949152542372881E-2</v>
      </c>
      <c r="S103" t="s">
        <v>251</v>
      </c>
      <c r="T103" s="21">
        <v>-0.81705804767477974</v>
      </c>
      <c r="U103" t="s">
        <v>149</v>
      </c>
      <c r="V103">
        <v>1</v>
      </c>
    </row>
    <row r="104" spans="1:22" x14ac:dyDescent="0.25">
      <c r="A104">
        <v>1</v>
      </c>
      <c r="B104" t="s">
        <v>25</v>
      </c>
      <c r="C104" t="s">
        <v>4</v>
      </c>
      <c r="D104" t="s">
        <v>5</v>
      </c>
      <c r="E104">
        <v>150000</v>
      </c>
      <c r="F104">
        <v>100000</v>
      </c>
      <c r="G104" s="19" t="s">
        <v>127</v>
      </c>
      <c r="H104">
        <v>5.0599999999999996</v>
      </c>
      <c r="I104">
        <v>30</v>
      </c>
      <c r="J104" t="s">
        <v>116</v>
      </c>
      <c r="K104">
        <v>30</v>
      </c>
      <c r="L104" s="20">
        <v>0.8</v>
      </c>
      <c r="M104" t="s">
        <v>115</v>
      </c>
      <c r="N104" t="s">
        <v>223</v>
      </c>
      <c r="O104" s="21">
        <v>0.36899999999999999</v>
      </c>
      <c r="P104" s="21" t="s">
        <v>150</v>
      </c>
      <c r="Q104" s="20">
        <v>1.6949152542372881E-2</v>
      </c>
      <c r="S104" t="s">
        <v>252</v>
      </c>
      <c r="T104" s="21">
        <v>-0.81705804767477974</v>
      </c>
      <c r="U104" t="s">
        <v>149</v>
      </c>
      <c r="V104">
        <v>1</v>
      </c>
    </row>
    <row r="105" spans="1:22" x14ac:dyDescent="0.25">
      <c r="A105">
        <v>1</v>
      </c>
      <c r="B105" t="s">
        <v>25</v>
      </c>
      <c r="C105" t="s">
        <v>4</v>
      </c>
      <c r="D105" t="s">
        <v>5</v>
      </c>
      <c r="E105">
        <v>150000</v>
      </c>
      <c r="F105">
        <v>100000</v>
      </c>
      <c r="G105" t="s">
        <v>22</v>
      </c>
      <c r="H105">
        <v>4.84</v>
      </c>
      <c r="I105">
        <v>30</v>
      </c>
      <c r="J105" t="s">
        <v>117</v>
      </c>
      <c r="K105">
        <v>30</v>
      </c>
      <c r="L105" s="20">
        <v>0.8</v>
      </c>
      <c r="M105" t="s">
        <v>115</v>
      </c>
      <c r="N105" t="s">
        <v>183</v>
      </c>
      <c r="O105" s="21">
        <v>0.36899999999999999</v>
      </c>
      <c r="P105" s="21" t="s">
        <v>150</v>
      </c>
      <c r="Q105" s="20">
        <v>1</v>
      </c>
      <c r="S105" t="s">
        <v>254</v>
      </c>
      <c r="T105" s="21">
        <v>-0.81705804767477974</v>
      </c>
      <c r="U105" t="s">
        <v>149</v>
      </c>
      <c r="V105">
        <v>1</v>
      </c>
    </row>
    <row r="106" spans="1:22" x14ac:dyDescent="0.25">
      <c r="A106">
        <v>1</v>
      </c>
      <c r="B106" t="s">
        <v>25</v>
      </c>
      <c r="C106" t="s">
        <v>4</v>
      </c>
      <c r="D106" t="s">
        <v>5</v>
      </c>
      <c r="E106">
        <v>150000</v>
      </c>
      <c r="F106">
        <v>100000</v>
      </c>
      <c r="G106" t="s">
        <v>22</v>
      </c>
      <c r="H106">
        <v>5.4</v>
      </c>
      <c r="I106">
        <v>30</v>
      </c>
      <c r="J106" t="s">
        <v>116</v>
      </c>
      <c r="K106">
        <v>30</v>
      </c>
      <c r="L106" s="20">
        <v>0.8</v>
      </c>
      <c r="M106" t="s">
        <v>115</v>
      </c>
      <c r="N106" t="s">
        <v>185</v>
      </c>
      <c r="O106" s="21">
        <v>0.36899999999999999</v>
      </c>
      <c r="P106" s="21" t="s">
        <v>150</v>
      </c>
      <c r="Q106" s="20">
        <v>1</v>
      </c>
      <c r="S106" t="s">
        <v>256</v>
      </c>
      <c r="T106" s="21">
        <v>-0.81705804767477974</v>
      </c>
      <c r="U106" t="s">
        <v>149</v>
      </c>
      <c r="V106">
        <v>1</v>
      </c>
    </row>
    <row r="107" spans="1:22" x14ac:dyDescent="0.25">
      <c r="A107">
        <v>12</v>
      </c>
      <c r="B107" t="s">
        <v>66</v>
      </c>
      <c r="C107" s="19" t="s">
        <v>13</v>
      </c>
      <c r="D107" s="19" t="s">
        <v>5</v>
      </c>
      <c r="E107" s="19">
        <v>150000</v>
      </c>
      <c r="F107" s="19">
        <v>100000</v>
      </c>
      <c r="G107" s="19" t="s">
        <v>127</v>
      </c>
      <c r="H107" s="19">
        <v>3.38</v>
      </c>
      <c r="I107">
        <v>40</v>
      </c>
      <c r="J107" s="19" t="s">
        <v>116</v>
      </c>
      <c r="K107" s="19">
        <v>15</v>
      </c>
      <c r="L107" s="20">
        <v>1</v>
      </c>
      <c r="M107" s="19" t="s">
        <v>41</v>
      </c>
      <c r="N107" s="19" t="s">
        <v>181</v>
      </c>
      <c r="O107" s="21">
        <v>0.41</v>
      </c>
      <c r="P107" s="21" t="s">
        <v>150</v>
      </c>
      <c r="Q107" s="23">
        <v>0.2</v>
      </c>
      <c r="S107" t="s">
        <v>273</v>
      </c>
      <c r="T107" s="21">
        <v>0</v>
      </c>
      <c r="U107" t="s">
        <v>151</v>
      </c>
      <c r="V107">
        <v>0</v>
      </c>
    </row>
    <row r="108" spans="1:22" x14ac:dyDescent="0.25">
      <c r="A108">
        <v>12</v>
      </c>
      <c r="B108" t="s">
        <v>66</v>
      </c>
      <c r="C108" s="3" t="s">
        <v>13</v>
      </c>
      <c r="D108" t="s">
        <v>5</v>
      </c>
      <c r="E108">
        <v>150000</v>
      </c>
      <c r="F108">
        <v>100000</v>
      </c>
      <c r="G108" t="s">
        <v>22</v>
      </c>
      <c r="H108">
        <v>4</v>
      </c>
      <c r="I108">
        <v>40</v>
      </c>
      <c r="J108" t="s">
        <v>116</v>
      </c>
      <c r="K108">
        <v>25</v>
      </c>
      <c r="L108" s="20">
        <v>1</v>
      </c>
      <c r="M108" t="s">
        <v>115</v>
      </c>
      <c r="N108" t="s">
        <v>185</v>
      </c>
      <c r="O108" s="21">
        <v>0.41</v>
      </c>
      <c r="P108" s="21" t="s">
        <v>150</v>
      </c>
      <c r="Q108" s="20">
        <v>1</v>
      </c>
      <c r="S108" t="s">
        <v>276</v>
      </c>
      <c r="T108" s="21">
        <v>0</v>
      </c>
      <c r="U108" t="s">
        <v>151</v>
      </c>
      <c r="V108">
        <v>0</v>
      </c>
    </row>
    <row r="109" spans="1:22" x14ac:dyDescent="0.25">
      <c r="A109">
        <v>12</v>
      </c>
      <c r="B109" t="s">
        <v>66</v>
      </c>
      <c r="C109" s="19" t="s">
        <v>13</v>
      </c>
      <c r="D109" s="19" t="s">
        <v>5</v>
      </c>
      <c r="E109" s="19">
        <v>150000</v>
      </c>
      <c r="F109" s="19">
        <v>100000</v>
      </c>
      <c r="G109" s="19" t="s">
        <v>127</v>
      </c>
      <c r="H109" s="19">
        <v>3.52</v>
      </c>
      <c r="I109">
        <v>40</v>
      </c>
      <c r="J109" s="19" t="s">
        <v>116</v>
      </c>
      <c r="K109" s="19">
        <v>25</v>
      </c>
      <c r="L109" s="20">
        <v>1</v>
      </c>
      <c r="M109" s="19" t="s">
        <v>115</v>
      </c>
      <c r="N109" s="19" t="s">
        <v>223</v>
      </c>
      <c r="O109" s="21">
        <v>0.41</v>
      </c>
      <c r="P109" s="21" t="s">
        <v>150</v>
      </c>
      <c r="Q109" s="20">
        <v>0.2</v>
      </c>
      <c r="S109" t="s">
        <v>278</v>
      </c>
      <c r="T109" s="21">
        <v>0</v>
      </c>
      <c r="U109" t="s">
        <v>151</v>
      </c>
      <c r="V109">
        <v>0</v>
      </c>
    </row>
    <row r="110" spans="1:22" x14ac:dyDescent="0.25">
      <c r="A110">
        <v>12</v>
      </c>
      <c r="B110" t="s">
        <v>66</v>
      </c>
      <c r="C110" s="19" t="s">
        <v>13</v>
      </c>
      <c r="D110" s="19" t="s">
        <v>5</v>
      </c>
      <c r="E110" s="19">
        <v>150000</v>
      </c>
      <c r="F110" s="19">
        <v>100000</v>
      </c>
      <c r="G110" s="19" t="s">
        <v>127</v>
      </c>
      <c r="H110" s="19">
        <v>3.56</v>
      </c>
      <c r="I110">
        <v>40</v>
      </c>
      <c r="J110" s="19" t="s">
        <v>116</v>
      </c>
      <c r="K110" s="19">
        <v>30</v>
      </c>
      <c r="L110" s="20">
        <v>1</v>
      </c>
      <c r="M110" s="19" t="s">
        <v>115</v>
      </c>
      <c r="N110" s="19" t="s">
        <v>223</v>
      </c>
      <c r="O110" s="21">
        <v>0.41</v>
      </c>
      <c r="P110" s="21" t="s">
        <v>150</v>
      </c>
      <c r="Q110" s="20">
        <v>0.2</v>
      </c>
      <c r="S110" t="s">
        <v>283</v>
      </c>
      <c r="T110" s="21">
        <v>0</v>
      </c>
      <c r="U110" t="s">
        <v>151</v>
      </c>
      <c r="V110">
        <v>0</v>
      </c>
    </row>
    <row r="111" spans="1:22" x14ac:dyDescent="0.25">
      <c r="A111">
        <v>14</v>
      </c>
      <c r="B111" t="s">
        <v>66</v>
      </c>
      <c r="C111" t="s">
        <v>70</v>
      </c>
      <c r="D111" t="s">
        <v>5</v>
      </c>
      <c r="E111" s="19">
        <v>150000</v>
      </c>
      <c r="F111" s="19">
        <v>100000</v>
      </c>
      <c r="G111" s="22" t="s">
        <v>126</v>
      </c>
      <c r="H111" s="19">
        <v>3.24</v>
      </c>
      <c r="I111">
        <v>35</v>
      </c>
      <c r="J111" t="s">
        <v>116</v>
      </c>
      <c r="K111" s="19">
        <v>15</v>
      </c>
      <c r="L111" s="20">
        <v>0.9</v>
      </c>
      <c r="M111" s="19" t="s">
        <v>41</v>
      </c>
      <c r="N111" t="s">
        <v>161</v>
      </c>
      <c r="O111" s="21">
        <v>0.96899999999999997</v>
      </c>
      <c r="P111" s="21" t="s">
        <v>150</v>
      </c>
      <c r="Q111" s="20">
        <v>0.18888888888888888</v>
      </c>
      <c r="R111" t="s">
        <v>119</v>
      </c>
      <c r="S111" t="s">
        <v>272</v>
      </c>
      <c r="T111" s="21">
        <v>0</v>
      </c>
      <c r="U111" t="s">
        <v>151</v>
      </c>
      <c r="V111">
        <v>0</v>
      </c>
    </row>
    <row r="112" spans="1:22" x14ac:dyDescent="0.25">
      <c r="A112">
        <v>14</v>
      </c>
      <c r="B112" t="s">
        <v>66</v>
      </c>
      <c r="C112" t="s">
        <v>70</v>
      </c>
      <c r="D112" t="s">
        <v>5</v>
      </c>
      <c r="E112" s="19">
        <v>150000</v>
      </c>
      <c r="F112" s="19">
        <v>100000</v>
      </c>
      <c r="G112" s="22" t="s">
        <v>126</v>
      </c>
      <c r="H112" s="19">
        <v>3.34</v>
      </c>
      <c r="I112">
        <v>35</v>
      </c>
      <c r="J112" t="s">
        <v>116</v>
      </c>
      <c r="K112" s="19">
        <v>25</v>
      </c>
      <c r="L112" s="20">
        <v>0.9</v>
      </c>
      <c r="M112" s="19" t="s">
        <v>115</v>
      </c>
      <c r="N112" t="s">
        <v>204</v>
      </c>
      <c r="O112" s="21">
        <v>0.96899999999999997</v>
      </c>
      <c r="P112" s="21" t="s">
        <v>150</v>
      </c>
      <c r="Q112" s="20">
        <v>0.18888888888888888</v>
      </c>
      <c r="R112" t="s">
        <v>119</v>
      </c>
      <c r="S112" t="s">
        <v>277</v>
      </c>
      <c r="T112" s="21">
        <v>0</v>
      </c>
      <c r="U112" t="s">
        <v>151</v>
      </c>
      <c r="V112">
        <v>0</v>
      </c>
    </row>
    <row r="113" spans="1:22" x14ac:dyDescent="0.25">
      <c r="A113">
        <v>14</v>
      </c>
      <c r="B113" t="s">
        <v>66</v>
      </c>
      <c r="C113" t="s">
        <v>70</v>
      </c>
      <c r="D113" t="s">
        <v>5</v>
      </c>
      <c r="E113" s="19">
        <v>150000</v>
      </c>
      <c r="F113" s="19">
        <v>100000</v>
      </c>
      <c r="G113" s="22" t="s">
        <v>126</v>
      </c>
      <c r="H113" s="19">
        <v>3.35</v>
      </c>
      <c r="I113">
        <v>35</v>
      </c>
      <c r="J113" t="s">
        <v>116</v>
      </c>
      <c r="K113" s="19">
        <v>30</v>
      </c>
      <c r="L113" s="20">
        <v>0.9</v>
      </c>
      <c r="M113" s="19" t="s">
        <v>115</v>
      </c>
      <c r="N113" t="s">
        <v>204</v>
      </c>
      <c r="O113" s="21">
        <v>0.96899999999999997</v>
      </c>
      <c r="P113" s="21" t="s">
        <v>150</v>
      </c>
      <c r="Q113" s="20">
        <v>0.18888888888888888</v>
      </c>
      <c r="R113" t="s">
        <v>119</v>
      </c>
      <c r="S113" t="s">
        <v>282</v>
      </c>
      <c r="T113" s="21">
        <v>0</v>
      </c>
      <c r="U113" t="s">
        <v>151</v>
      </c>
      <c r="V113">
        <v>0</v>
      </c>
    </row>
    <row r="114" spans="1:22" x14ac:dyDescent="0.25">
      <c r="A114">
        <v>16</v>
      </c>
      <c r="B114" t="s">
        <v>66</v>
      </c>
      <c r="C114" s="8" t="s">
        <v>86</v>
      </c>
      <c r="D114" s="19" t="s">
        <v>5</v>
      </c>
      <c r="E114" t="s">
        <v>42</v>
      </c>
      <c r="F114" s="19">
        <v>150000</v>
      </c>
      <c r="G114" t="s">
        <v>22</v>
      </c>
      <c r="H114" s="19">
        <v>3.6219999999999999</v>
      </c>
      <c r="I114">
        <v>25</v>
      </c>
      <c r="J114" t="s">
        <v>116</v>
      </c>
      <c r="K114" s="19">
        <v>25</v>
      </c>
      <c r="L114" s="20">
        <v>0.9</v>
      </c>
      <c r="M114" s="19" t="s">
        <v>115</v>
      </c>
      <c r="N114" t="s">
        <v>185</v>
      </c>
      <c r="O114" s="21" t="s">
        <v>98</v>
      </c>
      <c r="P114" s="21" t="s">
        <v>98</v>
      </c>
      <c r="Q114" s="20">
        <v>1</v>
      </c>
      <c r="S114" t="s">
        <v>285</v>
      </c>
      <c r="T114" s="21">
        <v>0</v>
      </c>
      <c r="U114" t="s">
        <v>151</v>
      </c>
      <c r="V114">
        <v>0</v>
      </c>
    </row>
    <row r="115" spans="1:22" x14ac:dyDescent="0.25">
      <c r="A115">
        <v>16</v>
      </c>
      <c r="B115" t="s">
        <v>66</v>
      </c>
      <c r="C115" s="8" t="s">
        <v>86</v>
      </c>
      <c r="D115" s="19" t="s">
        <v>5</v>
      </c>
      <c r="E115" t="s">
        <v>42</v>
      </c>
      <c r="F115" s="19">
        <v>150000</v>
      </c>
      <c r="G115" t="s">
        <v>22</v>
      </c>
      <c r="H115" s="19">
        <v>3.6219999999999999</v>
      </c>
      <c r="I115">
        <v>25</v>
      </c>
      <c r="J115" t="s">
        <v>117</v>
      </c>
      <c r="K115" s="19">
        <v>25</v>
      </c>
      <c r="L115" s="20">
        <v>0.9</v>
      </c>
      <c r="M115" s="19" t="s">
        <v>115</v>
      </c>
      <c r="N115" t="s">
        <v>183</v>
      </c>
      <c r="O115" s="21" t="s">
        <v>98</v>
      </c>
      <c r="P115" s="21" t="s">
        <v>98</v>
      </c>
      <c r="Q115" s="20">
        <v>1</v>
      </c>
      <c r="R115" t="s">
        <v>101</v>
      </c>
      <c r="S115" t="s">
        <v>286</v>
      </c>
      <c r="T115" s="21">
        <v>0</v>
      </c>
      <c r="U115" t="s">
        <v>151</v>
      </c>
      <c r="V115">
        <v>1</v>
      </c>
    </row>
    <row r="116" spans="1:22" x14ac:dyDescent="0.25">
      <c r="A116">
        <v>11</v>
      </c>
      <c r="B116" t="s">
        <v>25</v>
      </c>
      <c r="C116" s="8" t="s">
        <v>94</v>
      </c>
      <c r="D116" s="19" t="s">
        <v>5</v>
      </c>
      <c r="E116" s="19">
        <v>200000</v>
      </c>
      <c r="F116" s="19">
        <v>160000</v>
      </c>
      <c r="G116" t="s">
        <v>22</v>
      </c>
      <c r="H116" s="19">
        <v>2.81</v>
      </c>
      <c r="I116">
        <v>30</v>
      </c>
      <c r="J116" t="s">
        <v>117</v>
      </c>
      <c r="K116" s="19">
        <v>15</v>
      </c>
      <c r="L116" s="20">
        <v>0.8</v>
      </c>
      <c r="M116" s="19" t="s">
        <v>41</v>
      </c>
      <c r="N116" t="s">
        <v>157</v>
      </c>
      <c r="O116" s="21">
        <v>0.55600000000000005</v>
      </c>
      <c r="P116" s="21" t="s">
        <v>150</v>
      </c>
      <c r="Q116" s="20">
        <v>1</v>
      </c>
      <c r="S116" t="s">
        <v>165</v>
      </c>
      <c r="T116" s="21">
        <v>-1</v>
      </c>
      <c r="U116" t="s">
        <v>149</v>
      </c>
      <c r="V116">
        <v>1</v>
      </c>
    </row>
    <row r="117" spans="1:22" x14ac:dyDescent="0.25">
      <c r="A117">
        <v>11</v>
      </c>
      <c r="B117" t="s">
        <v>25</v>
      </c>
      <c r="C117" s="8" t="s">
        <v>94</v>
      </c>
      <c r="D117" s="19" t="s">
        <v>5</v>
      </c>
      <c r="E117" s="19">
        <v>200000</v>
      </c>
      <c r="F117" s="19">
        <v>160000</v>
      </c>
      <c r="G117" t="s">
        <v>22</v>
      </c>
      <c r="H117" s="19">
        <v>3.22</v>
      </c>
      <c r="I117">
        <v>30</v>
      </c>
      <c r="J117" t="s">
        <v>116</v>
      </c>
      <c r="K117" s="19">
        <v>15</v>
      </c>
      <c r="L117" s="20">
        <v>0.8</v>
      </c>
      <c r="M117" s="19" t="s">
        <v>41</v>
      </c>
      <c r="N117" t="s">
        <v>166</v>
      </c>
      <c r="O117" s="21">
        <v>0.55600000000000005</v>
      </c>
      <c r="P117" s="21" t="s">
        <v>150</v>
      </c>
      <c r="Q117" s="20">
        <v>1</v>
      </c>
      <c r="S117" t="s">
        <v>167</v>
      </c>
      <c r="T117" s="21">
        <v>-1</v>
      </c>
      <c r="U117" t="s">
        <v>149</v>
      </c>
      <c r="V117">
        <v>1</v>
      </c>
    </row>
    <row r="118" spans="1:22" x14ac:dyDescent="0.25">
      <c r="A118">
        <v>11</v>
      </c>
      <c r="B118" t="s">
        <v>25</v>
      </c>
      <c r="C118" s="8" t="s">
        <v>94</v>
      </c>
      <c r="D118" s="19" t="s">
        <v>5</v>
      </c>
      <c r="E118" s="19">
        <v>200000</v>
      </c>
      <c r="F118" s="19">
        <v>160000</v>
      </c>
      <c r="G118" t="s">
        <v>22</v>
      </c>
      <c r="H118" s="19">
        <v>3.22</v>
      </c>
      <c r="I118">
        <v>30</v>
      </c>
      <c r="J118" t="s">
        <v>116</v>
      </c>
      <c r="K118" s="19">
        <v>25</v>
      </c>
      <c r="L118" s="20">
        <v>0.8</v>
      </c>
      <c r="M118" s="19" t="s">
        <v>115</v>
      </c>
      <c r="N118" t="s">
        <v>185</v>
      </c>
      <c r="O118" s="21">
        <v>0.55600000000000005</v>
      </c>
      <c r="P118" s="21" t="s">
        <v>150</v>
      </c>
      <c r="Q118" s="20">
        <v>1</v>
      </c>
      <c r="S118" t="s">
        <v>207</v>
      </c>
      <c r="T118" s="21">
        <v>-1</v>
      </c>
      <c r="U118" t="s">
        <v>149</v>
      </c>
      <c r="V118">
        <v>1</v>
      </c>
    </row>
    <row r="119" spans="1:22" x14ac:dyDescent="0.25">
      <c r="A119">
        <v>11</v>
      </c>
      <c r="B119" t="s">
        <v>25</v>
      </c>
      <c r="C119" s="8" t="s">
        <v>94</v>
      </c>
      <c r="D119" s="19" t="s">
        <v>5</v>
      </c>
      <c r="E119" s="19">
        <v>200000</v>
      </c>
      <c r="F119" s="19">
        <v>160000</v>
      </c>
      <c r="G119" t="s">
        <v>22</v>
      </c>
      <c r="H119" s="19">
        <v>3.22</v>
      </c>
      <c r="I119">
        <v>30</v>
      </c>
      <c r="J119" t="s">
        <v>116</v>
      </c>
      <c r="K119" s="19">
        <v>30</v>
      </c>
      <c r="L119" s="20">
        <v>0.8</v>
      </c>
      <c r="M119" s="19" t="s">
        <v>115</v>
      </c>
      <c r="N119" t="s">
        <v>185</v>
      </c>
      <c r="O119" s="21">
        <v>0.55600000000000005</v>
      </c>
      <c r="P119" s="21" t="s">
        <v>150</v>
      </c>
      <c r="Q119" s="20">
        <v>1</v>
      </c>
      <c r="S119" t="s">
        <v>234</v>
      </c>
      <c r="T119" s="21">
        <v>-1</v>
      </c>
      <c r="U119" t="s">
        <v>149</v>
      </c>
      <c r="V119">
        <v>1</v>
      </c>
    </row>
  </sheetData>
  <autoFilter ref="A1:V1" xr:uid="{00000000-0001-0000-0000-000000000000}">
    <sortState xmlns:xlrd2="http://schemas.microsoft.com/office/spreadsheetml/2017/richdata2" ref="A2:V119">
      <sortCondition ref="F1"/>
    </sortState>
  </autoFilter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8B16-6FCC-49B3-B3C2-7F2B736385B9}">
  <dimension ref="A1:X47"/>
  <sheetViews>
    <sheetView zoomScale="70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8" sqref="G8"/>
    </sheetView>
  </sheetViews>
  <sheetFormatPr defaultRowHeight="15" x14ac:dyDescent="0.25"/>
  <cols>
    <col min="1" max="1" width="11.42578125" style="8" bestFit="1" customWidth="1"/>
    <col min="2" max="2" width="29.85546875" style="8" bestFit="1" customWidth="1"/>
    <col min="3" max="3" width="13.28515625" style="8" customWidth="1"/>
    <col min="4" max="4" width="19.5703125" style="8" customWidth="1"/>
    <col min="5" max="5" width="36.85546875" style="8" customWidth="1"/>
    <col min="6" max="6" width="26" style="8" customWidth="1"/>
    <col min="7" max="7" width="56.7109375" style="8" customWidth="1"/>
    <col min="8" max="9" width="14.5703125" style="8" customWidth="1"/>
    <col min="10" max="10" width="8.85546875" style="9" bestFit="1" customWidth="1"/>
    <col min="11" max="12" width="8.85546875" style="9" customWidth="1"/>
    <col min="13" max="13" width="9.42578125" style="8" customWidth="1"/>
    <col min="14" max="14" width="9.5703125" style="8" customWidth="1"/>
    <col min="15" max="15" width="17.28515625" style="8" bestFit="1" customWidth="1"/>
    <col min="16" max="17" width="14.85546875" style="8" customWidth="1"/>
    <col min="18" max="18" width="11.42578125" style="8" customWidth="1"/>
    <col min="19" max="21" width="25.140625" style="8" customWidth="1"/>
    <col min="22" max="22" width="59.85546875" style="8" bestFit="1" customWidth="1"/>
    <col min="23" max="23" width="50.85546875" style="8" bestFit="1" customWidth="1"/>
    <col min="24" max="24" width="84.140625" style="8" customWidth="1"/>
    <col min="25" max="16384" width="9.140625" style="8"/>
  </cols>
  <sheetData>
    <row r="1" spans="1:24" ht="75" x14ac:dyDescent="0.25">
      <c r="A1" s="8" t="s">
        <v>122</v>
      </c>
      <c r="B1" s="4" t="s">
        <v>16</v>
      </c>
      <c r="C1" s="4" t="s">
        <v>79</v>
      </c>
      <c r="D1" s="4" t="s">
        <v>17</v>
      </c>
      <c r="E1" s="4" t="s">
        <v>132</v>
      </c>
      <c r="F1" s="4" t="s">
        <v>43</v>
      </c>
      <c r="G1" s="4" t="s">
        <v>44</v>
      </c>
      <c r="H1" s="4" t="s">
        <v>96</v>
      </c>
      <c r="I1" s="4" t="s">
        <v>103</v>
      </c>
      <c r="J1" s="5" t="s">
        <v>20</v>
      </c>
      <c r="K1" s="6" t="s">
        <v>26</v>
      </c>
      <c r="L1" s="5" t="s">
        <v>107</v>
      </c>
      <c r="M1" s="4" t="s">
        <v>32</v>
      </c>
      <c r="N1" s="4" t="s">
        <v>105</v>
      </c>
      <c r="O1" s="4" t="s">
        <v>72</v>
      </c>
      <c r="P1" s="4" t="s">
        <v>73</v>
      </c>
      <c r="Q1" s="4" t="s">
        <v>140</v>
      </c>
      <c r="R1" s="4" t="s">
        <v>71</v>
      </c>
      <c r="S1" s="4" t="s">
        <v>75</v>
      </c>
      <c r="T1" s="4" t="s">
        <v>142</v>
      </c>
      <c r="U1" s="4" t="s">
        <v>143</v>
      </c>
      <c r="V1" s="4" t="s">
        <v>37</v>
      </c>
      <c r="W1" s="4" t="s">
        <v>36</v>
      </c>
      <c r="X1" s="7" t="s">
        <v>3</v>
      </c>
    </row>
    <row r="2" spans="1:24" ht="30" x14ac:dyDescent="0.25">
      <c r="A2" s="8">
        <v>1</v>
      </c>
      <c r="B2" s="8" t="s">
        <v>4</v>
      </c>
      <c r="C2" s="8" t="s">
        <v>82</v>
      </c>
      <c r="D2" s="8" t="s">
        <v>25</v>
      </c>
      <c r="E2" s="2" t="s">
        <v>134</v>
      </c>
      <c r="F2" s="8" t="s">
        <v>45</v>
      </c>
      <c r="G2" s="8" t="s">
        <v>46</v>
      </c>
      <c r="H2" s="8">
        <v>1</v>
      </c>
      <c r="I2" s="8">
        <v>1</v>
      </c>
      <c r="J2" s="9">
        <f>120/150</f>
        <v>0.8</v>
      </c>
      <c r="K2" s="9">
        <f t="shared" ref="K2:K17" si="0">1-J2</f>
        <v>0.19999999999999996</v>
      </c>
      <c r="L2" s="9">
        <f>120/150</f>
        <v>0.8</v>
      </c>
      <c r="M2" s="8">
        <v>30</v>
      </c>
      <c r="N2" s="8">
        <v>30</v>
      </c>
      <c r="O2" s="8" t="s">
        <v>6</v>
      </c>
      <c r="P2" s="13" t="s">
        <v>74</v>
      </c>
      <c r="Q2" s="13" t="s">
        <v>6</v>
      </c>
      <c r="R2" s="8" t="s">
        <v>6</v>
      </c>
      <c r="S2" s="8" t="s">
        <v>35</v>
      </c>
      <c r="T2" s="8" t="str">
        <f>_xlfn.XLOOKUP(A2,[1]Sheet1!$B:$B,[1]Sheet1!$D:$D)</f>
        <v>Increasing</v>
      </c>
      <c r="U2" s="8">
        <f>_xlfn.XLOOKUP(A2,[1]Sheet1!$B:$B,[1]Sheet1!$C:$C)</f>
        <v>0.374</v>
      </c>
      <c r="V2" s="10" t="s">
        <v>28</v>
      </c>
      <c r="W2" s="10" t="s">
        <v>29</v>
      </c>
    </row>
    <row r="3" spans="1:24" ht="60" x14ac:dyDescent="0.25">
      <c r="A3" s="8">
        <v>2</v>
      </c>
      <c r="B3" s="8" t="s">
        <v>8</v>
      </c>
      <c r="C3" s="8" t="s">
        <v>90</v>
      </c>
      <c r="D3" s="8" t="s">
        <v>25</v>
      </c>
      <c r="E3" s="2" t="s">
        <v>133</v>
      </c>
      <c r="F3" s="8" t="s">
        <v>47</v>
      </c>
      <c r="G3" s="8" t="s">
        <v>141</v>
      </c>
      <c r="H3" s="8">
        <v>0.5</v>
      </c>
      <c r="I3" s="8" t="s">
        <v>109</v>
      </c>
      <c r="J3" s="9">
        <f>120/150</f>
        <v>0.8</v>
      </c>
      <c r="K3" s="9">
        <f t="shared" si="0"/>
        <v>0.19999999999999996</v>
      </c>
      <c r="L3" s="9">
        <v>0.6</v>
      </c>
      <c r="M3" s="8">
        <v>30</v>
      </c>
      <c r="N3" s="8">
        <v>25</v>
      </c>
      <c r="O3" s="8" t="s">
        <v>6</v>
      </c>
      <c r="P3" s="13" t="s">
        <v>74</v>
      </c>
      <c r="Q3" s="13" t="s">
        <v>6</v>
      </c>
      <c r="R3" s="8" t="s">
        <v>76</v>
      </c>
      <c r="S3" s="8" t="s">
        <v>77</v>
      </c>
      <c r="T3" s="8" t="str">
        <f>_xlfn.XLOOKUP(A3,[1]Sheet1!$B:$B,[1]Sheet1!$D:$D)</f>
        <v>Decreasing</v>
      </c>
      <c r="U3" s="8">
        <f>_xlfn.XLOOKUP(A3,[1]Sheet1!$B:$B,[1]Sheet1!$C:$C)</f>
        <v>-1</v>
      </c>
      <c r="V3" s="10" t="s">
        <v>30</v>
      </c>
      <c r="W3" s="10" t="s">
        <v>123</v>
      </c>
      <c r="X3" s="8" t="s">
        <v>124</v>
      </c>
    </row>
    <row r="4" spans="1:24" ht="90" x14ac:dyDescent="0.25">
      <c r="A4" s="8">
        <v>3</v>
      </c>
      <c r="B4" s="8" t="s">
        <v>9</v>
      </c>
      <c r="C4" s="8" t="s">
        <v>80</v>
      </c>
      <c r="D4" s="8" t="s">
        <v>25</v>
      </c>
      <c r="E4" s="2" t="s">
        <v>133</v>
      </c>
      <c r="F4" s="8" t="s">
        <v>48</v>
      </c>
      <c r="G4" s="8" t="s">
        <v>49</v>
      </c>
      <c r="H4" s="8">
        <v>0.8</v>
      </c>
      <c r="I4" s="8" t="s">
        <v>111</v>
      </c>
      <c r="J4" s="9">
        <f>120/150</f>
        <v>0.8</v>
      </c>
      <c r="K4" s="9">
        <f t="shared" si="0"/>
        <v>0.19999999999999996</v>
      </c>
      <c r="L4" s="9">
        <v>0.7</v>
      </c>
      <c r="M4" s="8">
        <v>30</v>
      </c>
      <c r="N4" s="8">
        <v>20</v>
      </c>
      <c r="O4" s="8" t="s">
        <v>108</v>
      </c>
      <c r="P4" s="13" t="s">
        <v>74</v>
      </c>
      <c r="Q4" s="13" t="s">
        <v>6</v>
      </c>
      <c r="R4" s="8" t="s">
        <v>6</v>
      </c>
      <c r="S4" s="8" t="s">
        <v>130</v>
      </c>
      <c r="T4" s="8" t="str">
        <f>_xlfn.XLOOKUP(A4,[1]Sheet1!$B:$B,[1]Sheet1!$D:$D)</f>
        <v>Decreasing</v>
      </c>
      <c r="U4" s="8">
        <f>_xlfn.XLOOKUP(A4,[1]Sheet1!$B:$B,[1]Sheet1!$C:$C)</f>
        <v>-0.24199999999999999</v>
      </c>
      <c r="V4" s="10" t="s">
        <v>118</v>
      </c>
      <c r="W4" s="10" t="s">
        <v>128</v>
      </c>
      <c r="X4" s="8" t="s">
        <v>129</v>
      </c>
    </row>
    <row r="5" spans="1:24" ht="30" x14ac:dyDescent="0.25">
      <c r="A5" s="8">
        <v>4</v>
      </c>
      <c r="B5" s="8" t="s">
        <v>10</v>
      </c>
      <c r="C5" s="8" t="s">
        <v>81</v>
      </c>
      <c r="D5" s="8" t="s">
        <v>25</v>
      </c>
      <c r="E5" s="2" t="s">
        <v>134</v>
      </c>
      <c r="F5" s="8" t="s">
        <v>45</v>
      </c>
      <c r="G5" s="8" t="s">
        <v>137</v>
      </c>
      <c r="H5" s="8">
        <v>1</v>
      </c>
      <c r="I5" s="8">
        <v>1</v>
      </c>
      <c r="J5" s="9">
        <f>120/150</f>
        <v>0.8</v>
      </c>
      <c r="K5" s="9">
        <f t="shared" si="0"/>
        <v>0.19999999999999996</v>
      </c>
      <c r="L5" s="9" t="s">
        <v>42</v>
      </c>
      <c r="M5" s="8">
        <v>30</v>
      </c>
      <c r="N5" s="8" t="s">
        <v>42</v>
      </c>
      <c r="O5" s="8" t="s">
        <v>6</v>
      </c>
      <c r="P5" s="13" t="s">
        <v>74</v>
      </c>
      <c r="Q5" s="8" t="s">
        <v>98</v>
      </c>
      <c r="R5" s="8" t="s">
        <v>21</v>
      </c>
      <c r="S5" s="8" t="s">
        <v>35</v>
      </c>
      <c r="T5" s="8" t="str">
        <f>_xlfn.XLOOKUP(A5,[1]Sheet1!$B:$B,[1]Sheet1!$D:$D)</f>
        <v>Increasing</v>
      </c>
      <c r="U5" s="8">
        <f>_xlfn.XLOOKUP(A5,[1]Sheet1!$B:$B,[1]Sheet1!$C:$C)</f>
        <v>0.29899999999999999</v>
      </c>
      <c r="V5" s="10" t="s">
        <v>31</v>
      </c>
    </row>
    <row r="6" spans="1:24" x14ac:dyDescent="0.25">
      <c r="A6" s="8">
        <v>5</v>
      </c>
      <c r="B6" s="8" t="s">
        <v>12</v>
      </c>
      <c r="C6" s="8" t="s">
        <v>91</v>
      </c>
      <c r="D6" s="8" t="s">
        <v>25</v>
      </c>
      <c r="E6" s="2" t="s">
        <v>288</v>
      </c>
      <c r="F6" s="8" t="s">
        <v>50</v>
      </c>
      <c r="G6" s="8" t="s">
        <v>51</v>
      </c>
      <c r="H6" s="8">
        <v>1</v>
      </c>
      <c r="J6" s="9">
        <f>142/150</f>
        <v>0.94666666666666666</v>
      </c>
      <c r="K6" s="9">
        <f t="shared" si="0"/>
        <v>5.3333333333333344E-2</v>
      </c>
      <c r="M6" s="8">
        <v>30</v>
      </c>
      <c r="O6" s="8" t="s">
        <v>6</v>
      </c>
      <c r="Q6" s="8" t="s">
        <v>98</v>
      </c>
      <c r="T6" s="8" t="str">
        <f>_xlfn.XLOOKUP(A6,[1]Sheet1!$B:$B,[1]Sheet1!$D:$D)</f>
        <v>Decreasing</v>
      </c>
      <c r="U6" s="8">
        <f>_xlfn.XLOOKUP(A6,[1]Sheet1!$B:$B,[1]Sheet1!$C:$C)</f>
        <v>-0.61799999999999999</v>
      </c>
      <c r="V6" s="10" t="s">
        <v>38</v>
      </c>
    </row>
    <row r="7" spans="1:24" ht="30" x14ac:dyDescent="0.25">
      <c r="A7" s="8">
        <v>6</v>
      </c>
      <c r="B7" s="8" t="s">
        <v>11</v>
      </c>
      <c r="C7" s="8" t="s">
        <v>83</v>
      </c>
      <c r="D7" s="8" t="s">
        <v>25</v>
      </c>
      <c r="E7" s="2" t="s">
        <v>133</v>
      </c>
      <c r="F7" s="8" t="s">
        <v>78</v>
      </c>
      <c r="G7" s="8" t="s">
        <v>139</v>
      </c>
      <c r="H7" s="8">
        <v>1</v>
      </c>
      <c r="I7" s="8">
        <v>1</v>
      </c>
      <c r="J7" s="9">
        <f>120/150</f>
        <v>0.8</v>
      </c>
      <c r="K7" s="9">
        <f t="shared" si="0"/>
        <v>0.19999999999999996</v>
      </c>
      <c r="M7" s="8">
        <v>30</v>
      </c>
      <c r="O7" s="8" t="s">
        <v>6</v>
      </c>
      <c r="P7" s="13" t="s">
        <v>74</v>
      </c>
      <c r="Q7" s="8" t="s">
        <v>98</v>
      </c>
      <c r="S7" s="8" t="s">
        <v>35</v>
      </c>
      <c r="T7" s="8" t="str">
        <f>_xlfn.XLOOKUP(A7,[1]Sheet1!$B:$B,[1]Sheet1!$D:$D)</f>
        <v>Decreasing</v>
      </c>
      <c r="U7" s="8">
        <f>_xlfn.XLOOKUP(A7,[1]Sheet1!$B:$B,[1]Sheet1!$C:$C)</f>
        <v>-8.2000000000000003E-2</v>
      </c>
      <c r="V7" s="10" t="s">
        <v>34</v>
      </c>
    </row>
    <row r="8" spans="1:24" ht="30" x14ac:dyDescent="0.25">
      <c r="A8" s="8">
        <v>7</v>
      </c>
      <c r="B8" s="8" t="s">
        <v>54</v>
      </c>
      <c r="C8" s="8" t="s">
        <v>83</v>
      </c>
      <c r="D8" s="8" t="s">
        <v>25</v>
      </c>
      <c r="E8" s="2" t="s">
        <v>288</v>
      </c>
      <c r="G8" s="8" t="s">
        <v>56</v>
      </c>
      <c r="H8" s="8">
        <v>1</v>
      </c>
      <c r="I8" s="8">
        <v>1</v>
      </c>
      <c r="J8" s="9">
        <f>120/150</f>
        <v>0.8</v>
      </c>
      <c r="K8" s="9">
        <f t="shared" si="0"/>
        <v>0.19999999999999996</v>
      </c>
      <c r="M8" s="8">
        <v>30</v>
      </c>
      <c r="O8" s="8" t="s">
        <v>6</v>
      </c>
      <c r="Q8" s="8" t="s">
        <v>98</v>
      </c>
      <c r="T8" s="8" t="str">
        <f>_xlfn.XLOOKUP(A8,[1]Sheet1!$B:$B,[1]Sheet1!$D:$D)</f>
        <v>Decreasing</v>
      </c>
      <c r="U8" s="8">
        <f>_xlfn.XLOOKUP(A8,[1]Sheet1!$B:$B,[1]Sheet1!$C:$C)</f>
        <v>-0.36899999999999999</v>
      </c>
      <c r="V8" s="8" t="s">
        <v>55</v>
      </c>
    </row>
    <row r="9" spans="1:24" x14ac:dyDescent="0.25">
      <c r="A9" s="8">
        <v>8</v>
      </c>
      <c r="B9" s="8" t="s">
        <v>58</v>
      </c>
      <c r="D9" s="8" t="s">
        <v>25</v>
      </c>
      <c r="E9" s="2" t="s">
        <v>289</v>
      </c>
      <c r="G9" s="8" t="s">
        <v>59</v>
      </c>
      <c r="H9" s="8">
        <v>1</v>
      </c>
      <c r="I9" s="8">
        <v>1</v>
      </c>
      <c r="J9" s="9">
        <f>120/150</f>
        <v>0.8</v>
      </c>
      <c r="K9" s="9">
        <f t="shared" si="0"/>
        <v>0.19999999999999996</v>
      </c>
      <c r="M9" s="8">
        <v>30</v>
      </c>
      <c r="O9" s="8" t="s">
        <v>6</v>
      </c>
      <c r="Q9" s="8" t="s">
        <v>98</v>
      </c>
      <c r="T9" s="8" t="str">
        <f>_xlfn.XLOOKUP(A9,[1]Sheet1!$B:$B,[1]Sheet1!$D:$D)</f>
        <v>Decreasing</v>
      </c>
      <c r="U9" s="8">
        <f>_xlfn.XLOOKUP(A9,[1]Sheet1!$B:$B,[1]Sheet1!$C:$C)</f>
        <v>-6.2E-2</v>
      </c>
      <c r="V9" s="10" t="s">
        <v>57</v>
      </c>
    </row>
    <row r="10" spans="1:24" ht="45" x14ac:dyDescent="0.25">
      <c r="A10" s="8">
        <v>9</v>
      </c>
      <c r="B10" s="8" t="s">
        <v>65</v>
      </c>
      <c r="C10" s="8" t="s">
        <v>87</v>
      </c>
      <c r="D10" s="8" t="s">
        <v>25</v>
      </c>
      <c r="E10" s="2" t="s">
        <v>289</v>
      </c>
      <c r="F10" s="8" t="s">
        <v>64</v>
      </c>
      <c r="G10" s="8" t="s">
        <v>290</v>
      </c>
      <c r="H10" s="8">
        <v>1</v>
      </c>
      <c r="I10" s="8">
        <v>1</v>
      </c>
      <c r="J10" s="9">
        <f>120/150</f>
        <v>0.8</v>
      </c>
      <c r="K10" s="9">
        <f t="shared" si="0"/>
        <v>0.19999999999999996</v>
      </c>
      <c r="M10" s="8">
        <v>30</v>
      </c>
      <c r="O10" s="8" t="s">
        <v>6</v>
      </c>
      <c r="P10" s="8" t="s">
        <v>114</v>
      </c>
      <c r="Q10" s="8" t="s">
        <v>98</v>
      </c>
      <c r="T10" s="8" t="str">
        <f>_xlfn.XLOOKUP(A10,[1]Sheet1!$B:$B,[1]Sheet1!$D:$D)</f>
        <v>Decreasing</v>
      </c>
      <c r="U10" s="8">
        <f>_xlfn.XLOOKUP(A10,[1]Sheet1!$B:$B,[1]Sheet1!$C:$C)</f>
        <v>-0.188</v>
      </c>
      <c r="V10" s="10" t="s">
        <v>113</v>
      </c>
    </row>
    <row r="11" spans="1:24" x14ac:dyDescent="0.25">
      <c r="A11" s="8">
        <v>10</v>
      </c>
      <c r="B11" s="8" t="s">
        <v>89</v>
      </c>
      <c r="C11" s="8" t="s">
        <v>88</v>
      </c>
      <c r="D11" s="8" t="s">
        <v>25</v>
      </c>
      <c r="E11" s="2" t="s">
        <v>288</v>
      </c>
      <c r="G11" s="2" t="s">
        <v>291</v>
      </c>
      <c r="H11" s="2">
        <v>1</v>
      </c>
      <c r="I11" s="2">
        <v>1</v>
      </c>
      <c r="J11" s="9">
        <f>120/150</f>
        <v>0.8</v>
      </c>
      <c r="K11" s="9">
        <f t="shared" si="0"/>
        <v>0.19999999999999996</v>
      </c>
      <c r="M11" s="8">
        <v>30</v>
      </c>
      <c r="O11" s="8" t="s">
        <v>6</v>
      </c>
      <c r="P11" s="13" t="s">
        <v>74</v>
      </c>
      <c r="Q11" s="8" t="s">
        <v>98</v>
      </c>
      <c r="T11" s="8" t="str">
        <f>_xlfn.XLOOKUP(A11,[1]Sheet1!$B:$B,[1]Sheet1!$D:$D)</f>
        <v>Decreasing</v>
      </c>
      <c r="U11" s="8">
        <f>_xlfn.XLOOKUP(A11,[1]Sheet1!$B:$B,[1]Sheet1!$C:$C)</f>
        <v>-8.1000000000000003E-2</v>
      </c>
      <c r="V11" s="11" t="s">
        <v>102</v>
      </c>
    </row>
    <row r="12" spans="1:24" ht="60" x14ac:dyDescent="0.25">
      <c r="A12" s="8">
        <v>11</v>
      </c>
      <c r="B12" s="8" t="s">
        <v>94</v>
      </c>
      <c r="C12" s="8" t="s">
        <v>93</v>
      </c>
      <c r="D12" s="8" t="s">
        <v>25</v>
      </c>
      <c r="E12" s="2" t="s">
        <v>135</v>
      </c>
      <c r="G12" s="2" t="s">
        <v>136</v>
      </c>
      <c r="H12" s="2">
        <v>0.5</v>
      </c>
      <c r="I12" s="2" t="s">
        <v>104</v>
      </c>
      <c r="J12" s="9">
        <f>160/200</f>
        <v>0.8</v>
      </c>
      <c r="K12" s="9">
        <f t="shared" si="0"/>
        <v>0.19999999999999996</v>
      </c>
      <c r="L12" s="9">
        <v>0.7</v>
      </c>
      <c r="M12" s="8">
        <v>30</v>
      </c>
      <c r="N12" s="8">
        <v>25</v>
      </c>
      <c r="O12" s="8" t="s">
        <v>6</v>
      </c>
      <c r="P12" s="13" t="s">
        <v>74</v>
      </c>
      <c r="Q12" s="13" t="s">
        <v>6</v>
      </c>
      <c r="T12" s="8" t="str">
        <f>_xlfn.XLOOKUP(A12,[1]Sheet1!$B:$B,[1]Sheet1!$D:$D)</f>
        <v>Increasing</v>
      </c>
      <c r="U12" s="8">
        <f>_xlfn.XLOOKUP(A12,[1]Sheet1!$B:$B,[1]Sheet1!$C:$C)</f>
        <v>0.55600000000000005</v>
      </c>
      <c r="V12" s="12" t="s">
        <v>106</v>
      </c>
    </row>
    <row r="13" spans="1:24" ht="45" x14ac:dyDescent="0.25">
      <c r="A13" s="8">
        <v>12</v>
      </c>
      <c r="B13" s="8" t="s">
        <v>13</v>
      </c>
      <c r="C13" s="8" t="s">
        <v>84</v>
      </c>
      <c r="D13" s="8" t="s">
        <v>66</v>
      </c>
      <c r="E13" s="2" t="s">
        <v>66</v>
      </c>
      <c r="F13" s="8" t="s">
        <v>52</v>
      </c>
      <c r="G13" s="8" t="s">
        <v>293</v>
      </c>
      <c r="H13" s="8">
        <v>0.5</v>
      </c>
      <c r="I13" s="8" t="s">
        <v>110</v>
      </c>
      <c r="J13" s="9">
        <f>150/150</f>
        <v>1</v>
      </c>
      <c r="K13" s="9">
        <f t="shared" si="0"/>
        <v>0</v>
      </c>
      <c r="M13" s="8">
        <v>40</v>
      </c>
      <c r="O13" s="8" t="s">
        <v>6</v>
      </c>
      <c r="Q13" s="8" t="s">
        <v>98</v>
      </c>
      <c r="T13" s="8" t="str">
        <f>_xlfn.XLOOKUP(A13,[1]Sheet1!$B:$B,[1]Sheet1!$D:$D)</f>
        <v>Increasing</v>
      </c>
      <c r="U13" s="8">
        <f>_xlfn.XLOOKUP(A13,[1]Sheet1!$B:$B,[1]Sheet1!$C:$C)</f>
        <v>0.41</v>
      </c>
      <c r="V13" s="10" t="s">
        <v>15</v>
      </c>
      <c r="X13" s="8" t="s">
        <v>33</v>
      </c>
    </row>
    <row r="14" spans="1:24" ht="30" x14ac:dyDescent="0.25">
      <c r="A14" s="8">
        <v>13</v>
      </c>
      <c r="B14" s="8" t="s">
        <v>14</v>
      </c>
      <c r="C14" s="8" t="s">
        <v>92</v>
      </c>
      <c r="D14" s="8" t="s">
        <v>66</v>
      </c>
      <c r="E14" s="2" t="s">
        <v>66</v>
      </c>
      <c r="F14" s="8" t="s">
        <v>53</v>
      </c>
      <c r="G14" s="8" t="s">
        <v>292</v>
      </c>
      <c r="H14" s="8">
        <v>1</v>
      </c>
      <c r="I14" s="8" t="s">
        <v>42</v>
      </c>
      <c r="J14" s="9">
        <f>105/150</f>
        <v>0.7</v>
      </c>
      <c r="K14" s="9">
        <f t="shared" si="0"/>
        <v>0.30000000000000004</v>
      </c>
      <c r="M14" s="8">
        <v>25</v>
      </c>
      <c r="O14" s="8" t="s">
        <v>6</v>
      </c>
      <c r="Q14" s="8" t="s">
        <v>98</v>
      </c>
      <c r="T14" s="8" t="str">
        <f>_xlfn.XLOOKUP(A14,[1]Sheet1!$B:$B,[1]Sheet1!$D:$D)</f>
        <v>Increasing</v>
      </c>
      <c r="U14" s="8">
        <f>_xlfn.XLOOKUP(A14,[1]Sheet1!$B:$B,[1]Sheet1!$C:$C)</f>
        <v>0.27700000000000002</v>
      </c>
      <c r="V14" s="10" t="s">
        <v>39</v>
      </c>
      <c r="X14" s="8" t="s">
        <v>112</v>
      </c>
    </row>
    <row r="15" spans="1:24" ht="30" x14ac:dyDescent="0.25">
      <c r="A15" s="8">
        <v>14</v>
      </c>
      <c r="B15" s="8" t="s">
        <v>70</v>
      </c>
      <c r="D15" s="8" t="s">
        <v>66</v>
      </c>
      <c r="E15" s="2" t="s">
        <v>66</v>
      </c>
      <c r="F15" s="8" t="s">
        <v>67</v>
      </c>
      <c r="G15" s="8" t="s">
        <v>138</v>
      </c>
      <c r="H15" s="8">
        <v>0.5</v>
      </c>
      <c r="I15" s="8" t="s">
        <v>119</v>
      </c>
      <c r="J15" s="9">
        <f>135/150</f>
        <v>0.9</v>
      </c>
      <c r="K15" s="9">
        <f t="shared" si="0"/>
        <v>9.9999999999999978E-2</v>
      </c>
      <c r="L15" s="9" t="s">
        <v>98</v>
      </c>
      <c r="M15" s="8">
        <v>35</v>
      </c>
      <c r="N15" s="8" t="s">
        <v>98</v>
      </c>
      <c r="O15" s="8" t="s">
        <v>6</v>
      </c>
      <c r="P15" s="13" t="s">
        <v>74</v>
      </c>
      <c r="Q15" s="8" t="s">
        <v>98</v>
      </c>
      <c r="R15" s="8" t="s">
        <v>98</v>
      </c>
      <c r="S15" s="8" t="s">
        <v>98</v>
      </c>
      <c r="T15" s="8" t="str">
        <f>_xlfn.XLOOKUP(A15,[1]Sheet1!$B:$B,[1]Sheet1!$D:$D)</f>
        <v>Increasing</v>
      </c>
      <c r="U15" s="8">
        <f>_xlfn.XLOOKUP(A15,[1]Sheet1!$B:$B,[1]Sheet1!$C:$C)</f>
        <v>0.96899999999999997</v>
      </c>
      <c r="V15" s="10" t="s">
        <v>61</v>
      </c>
      <c r="X15" s="8" t="s">
        <v>60</v>
      </c>
    </row>
    <row r="16" spans="1:24" ht="45" x14ac:dyDescent="0.25">
      <c r="A16" s="8">
        <v>15</v>
      </c>
      <c r="B16" s="8" t="s">
        <v>62</v>
      </c>
      <c r="D16" s="8" t="s">
        <v>66</v>
      </c>
      <c r="E16" s="2" t="s">
        <v>66</v>
      </c>
      <c r="F16" s="8" t="s">
        <v>68</v>
      </c>
      <c r="G16" s="8" t="s">
        <v>69</v>
      </c>
      <c r="H16" s="8">
        <v>1</v>
      </c>
      <c r="I16" s="8">
        <v>1</v>
      </c>
      <c r="J16" s="9">
        <f>120/150</f>
        <v>0.8</v>
      </c>
      <c r="K16" s="9">
        <f t="shared" si="0"/>
        <v>0.19999999999999996</v>
      </c>
      <c r="M16" s="8">
        <v>30</v>
      </c>
      <c r="O16" s="8" t="s">
        <v>6</v>
      </c>
      <c r="P16" s="13" t="s">
        <v>74</v>
      </c>
      <c r="Q16" s="8" t="s">
        <v>98</v>
      </c>
      <c r="T16" s="8" t="str">
        <f>_xlfn.XLOOKUP(A16,[1]Sheet1!$B:$B,[1]Sheet1!$D:$D)</f>
        <v>Decreasing</v>
      </c>
      <c r="U16" s="8">
        <f>_xlfn.XLOOKUP(A16,[1]Sheet1!$B:$B,[1]Sheet1!$C:$C)</f>
        <v>-0.12</v>
      </c>
      <c r="V16" s="10" t="s">
        <v>62</v>
      </c>
      <c r="X16" s="8" t="s">
        <v>63</v>
      </c>
    </row>
    <row r="17" spans="1:24" ht="60" x14ac:dyDescent="0.25">
      <c r="A17" s="8">
        <v>16</v>
      </c>
      <c r="B17" s="8" t="s">
        <v>86</v>
      </c>
      <c r="C17" s="8" t="s">
        <v>85</v>
      </c>
      <c r="D17" s="8" t="s">
        <v>66</v>
      </c>
      <c r="E17" s="2" t="s">
        <v>66</v>
      </c>
      <c r="G17" s="2" t="s">
        <v>95</v>
      </c>
      <c r="H17" s="8">
        <v>0.5</v>
      </c>
      <c r="I17" s="2" t="s">
        <v>97</v>
      </c>
      <c r="J17" s="9">
        <v>0.9</v>
      </c>
      <c r="K17" s="9">
        <f t="shared" si="0"/>
        <v>9.9999999999999978E-2</v>
      </c>
      <c r="L17" s="9" t="s">
        <v>98</v>
      </c>
      <c r="M17" s="8">
        <v>25</v>
      </c>
      <c r="N17" s="8" t="s">
        <v>98</v>
      </c>
      <c r="O17" s="8" t="s">
        <v>21</v>
      </c>
      <c r="P17" s="8" t="s">
        <v>98</v>
      </c>
      <c r="Q17" s="8" t="s">
        <v>98</v>
      </c>
      <c r="R17" s="8" t="s">
        <v>98</v>
      </c>
      <c r="S17" s="8" t="s">
        <v>98</v>
      </c>
      <c r="T17" s="8" t="s">
        <v>98</v>
      </c>
      <c r="U17" s="8" t="s">
        <v>98</v>
      </c>
      <c r="V17" s="11" t="s">
        <v>99</v>
      </c>
      <c r="X17" s="8" t="s">
        <v>131</v>
      </c>
    </row>
    <row r="23" spans="1:24" x14ac:dyDescent="0.25">
      <c r="A23" s="1"/>
      <c r="B23" s="1"/>
      <c r="C23" s="1"/>
    </row>
    <row r="24" spans="1:24" x14ac:dyDescent="0.25">
      <c r="A24" s="2"/>
      <c r="B24" s="2"/>
      <c r="D24" s="1"/>
      <c r="E24" s="1"/>
    </row>
    <row r="25" spans="1:24" x14ac:dyDescent="0.25">
      <c r="A25" s="2"/>
      <c r="B25" s="2"/>
    </row>
    <row r="26" spans="1:24" x14ac:dyDescent="0.25">
      <c r="A26" s="2"/>
      <c r="B26" s="2"/>
    </row>
    <row r="27" spans="1:24" x14ac:dyDescent="0.25">
      <c r="A27" s="2"/>
      <c r="B27" s="2"/>
    </row>
    <row r="28" spans="1:24" x14ac:dyDescent="0.25">
      <c r="A28" s="2"/>
      <c r="B28" s="2"/>
    </row>
    <row r="29" spans="1:24" x14ac:dyDescent="0.25">
      <c r="A29" s="2"/>
      <c r="B29" s="2"/>
    </row>
    <row r="30" spans="1:24" x14ac:dyDescent="0.25">
      <c r="A30" s="2"/>
      <c r="B30" s="2"/>
    </row>
    <row r="31" spans="1:24" x14ac:dyDescent="0.25">
      <c r="A31" s="2"/>
      <c r="B31" s="2"/>
    </row>
    <row r="32" spans="1:24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</sheetData>
  <hyperlinks>
    <hyperlink ref="V13" r:id="rId1" display="https://www.ing.es/hipotecas" xr:uid="{DC5B68BE-FCEB-42E6-9B69-29BEC4105064}"/>
    <hyperlink ref="V5" r:id="rId2" display="https://www.bbva.es/personas/productos/hipotecas/simulador-hipotecas.html" xr:uid="{42E75E3E-4172-483A-AC25-96178453084D}"/>
    <hyperlink ref="V3" r:id="rId3" display="https://bancaonline.bankinter.com/simuladorHip/simulador-hipoteca-resultado.xhtml" xr:uid="{AF449F67-DDEB-4E60-AED7-5E5D4EB695D6}"/>
    <hyperlink ref="W2" r:id="rId4" display="https://www.bancosantander.es/particulares/hipotecas/no-residentes" xr:uid="{782CB9AE-CC20-4E5C-9627-4E093096696E}"/>
    <hyperlink ref="V2" r:id="rId5" display="https://www.bancosantander.es/particulares/hipotecas/simulador-hipoteca" xr:uid="{9E95518C-6B2A-4CE3-A42D-65E7FDA02FA0}"/>
    <hyperlink ref="V6" r:id="rId6" display="https://www.ibercaja.es/hipotecas/simulador/" xr:uid="{F605B70D-A223-4DB4-A7A7-23EFF44F8356}"/>
    <hyperlink ref="V14" r:id="rId7" display="https://www.openbank.es/simulador" xr:uid="{20982936-879F-4A7A-8658-9939DAEE88B6}"/>
    <hyperlink ref="V9" r:id="rId8" location="/requests/2667060/first-simulation?tipoFlujo=MIXTO" display="https://solicitudonline.abanca.com/simulador-hipoteca/es-ES/ - /requests/2667060/first-simulation?tipoFlujo=MIXTO" xr:uid="{8F5BC7F9-D986-4DB2-AFCD-04E74153C786}"/>
    <hyperlink ref="V10" r:id="rId9" display="https://www.idealista.com/hipotecas/comparador-hipotecas/hipotecas-cajamar/cajamar-fijo-1v-1?precio-inmueble=150000&amp;ahorros-aportados=60600&amp;plazo-hipoteca=30&amp;interes-fijo&amp;zona=Madrid&amp;condicion=1&amp;tipo-compra=5" xr:uid="{6C2D63A5-BC35-4ED5-BD8D-A8DF6B5CD79B}"/>
    <hyperlink ref="V15" r:id="rId10" location="/pre-simulador" display="https://hipotecas.pibank.es/ - /pre-simulador" xr:uid="{F3E363D0-B75D-46D3-A8C3-9030CADCFBA9}"/>
    <hyperlink ref="V16" r:id="rId11" display="https://myinvestor.es/simuladores/hipotecas/" xr:uid="{79B8504F-1908-4AD8-AC2E-94F8F5F700DC}"/>
    <hyperlink ref="V17" r:id="rId12" display="https://www.imagin.com/hipoteca" xr:uid="{BE5645B4-FBC7-4EE7-A6AC-6396BC9F652A}"/>
    <hyperlink ref="V11" r:id="rId13" display="https://www.ruralcentral.es/es/particulares/hipotecas/simulador-hipotecas" xr:uid="{20406C69-DF11-4922-9A89-61331920FE89}"/>
    <hyperlink ref="V12" r:id="rId14" display="https://www.bancamarch.es/es/simulador-de-hipoteca/" xr:uid="{2A22B54A-F1DC-4ED9-A1B8-914747C33A87}"/>
    <hyperlink ref="V4" r:id="rId15" location="casaf%C3%A1cilfijo" display="https://www.caixabank.es/particular/hipotecas/casafacil.html#casaf%C3%A1cilfijo" xr:uid="{BC40224E-7866-48A5-966D-F4AA5EEA05EF}"/>
    <hyperlink ref="W3" r:id="rId16" xr:uid="{BA666C46-EA22-4EF0-9A2C-A308971B24FC}"/>
    <hyperlink ref="W4" r:id="rId17" xr:uid="{4B0F21FC-EB35-4C1C-8179-0FFF1D77150D}"/>
  </hyperlinks>
  <pageMargins left="0.7" right="0.7" top="0.75" bottom="0.75" header="0.3" footer="0.3"/>
  <legacy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Loans</vt:lpstr>
      <vt:lpstr>Banks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 Samoylova</cp:lastModifiedBy>
  <dcterms:created xsi:type="dcterms:W3CDTF">2025-04-13T10:17:44Z</dcterms:created>
  <dcterms:modified xsi:type="dcterms:W3CDTF">2025-04-26T13:53:07Z</dcterms:modified>
</cp:coreProperties>
</file>